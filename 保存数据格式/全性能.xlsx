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firstSheet="1" activeTab="2"/>
  </bookViews>
  <sheets>
    <sheet name="爆破压力测试报告Burst pressure test" sheetId="7" r:id="rId1"/>
    <sheet name="拉力测试Pull test " sheetId="6" r:id="rId2"/>
    <sheet name="新晶圆性能测Wafer performance test" sheetId="5" r:id="rId3"/>
    <sheet name="过载测试Overload test" sheetId="12" r:id="rId4"/>
    <sheet name="芯片过载以及爆破性能指标" sheetId="10" r:id="rId5"/>
  </sheets>
  <calcPr calcId="144525"/>
</workbook>
</file>

<file path=xl/sharedStrings.xml><?xml version="1.0" encoding="utf-8"?>
<sst xmlns="http://schemas.openxmlformats.org/spreadsheetml/2006/main" count="313" uniqueCount="185">
  <si>
    <t>划片后的爆破压力测试
Burst pressure test after dicing</t>
  </si>
  <si>
    <t>晶圆编号
Wafer numbe</t>
  </si>
  <si>
    <t>型号
Type</t>
  </si>
  <si>
    <t>可接受爆破压力
Acceptable bursting pressure</t>
  </si>
  <si>
    <t>备注
comments</t>
  </si>
  <si>
    <t>序号
Number</t>
  </si>
  <si>
    <t>芯片坐标
Coordinate of die</t>
  </si>
  <si>
    <t>爆破压力
Burst pressure</t>
  </si>
  <si>
    <t>失效形式
Failure mode</t>
  </si>
  <si>
    <t>失效模式说明：
Note for failure mode：
    A代表玻璃部分被破坏，B代表键合表面发生分离，
    A —Break inside glass，B—Delamination of bond interface，
    C代表薄膜处被破坏，D代表硅部分被破坏
    C—Break of membrane，D—Break of silicon die</t>
  </si>
  <si>
    <t>划片后的拉力测试
Pull  test after dicing</t>
  </si>
  <si>
    <t>坐标
Coordinate</t>
  </si>
  <si>
    <t>拉力
Pull force</t>
  </si>
  <si>
    <t>失效模式
Failure mode</t>
  </si>
  <si>
    <t>结果
Result</t>
  </si>
  <si>
    <t>备注
Remarks</t>
  </si>
  <si>
    <t>Slot</t>
  </si>
  <si>
    <t>SN</t>
  </si>
  <si>
    <t>Wafer numbe</t>
  </si>
  <si>
    <t>Position
x</t>
  </si>
  <si>
    <t>Position
y</t>
  </si>
  <si>
    <t>25℃</t>
  </si>
  <si>
    <t>85℃</t>
  </si>
  <si>
    <t>Usource</t>
  </si>
  <si>
    <t>Isource</t>
  </si>
  <si>
    <t>Usig0</t>
  </si>
  <si>
    <t>UT</t>
  </si>
  <si>
    <t>Usig50</t>
  </si>
  <si>
    <t>Usig100</t>
  </si>
  <si>
    <t>Temp</t>
  </si>
  <si>
    <t>Offset</t>
  </si>
  <si>
    <t>Span</t>
  </si>
  <si>
    <t>Linearity</t>
  </si>
  <si>
    <t>TCO</t>
  </si>
  <si>
    <t>TCS</t>
  </si>
  <si>
    <t>TCR</t>
  </si>
  <si>
    <t>THO</t>
  </si>
  <si>
    <t>THS</t>
  </si>
  <si>
    <t>Pressure hysteresis</t>
  </si>
  <si>
    <t>TCT</t>
  </si>
  <si>
    <t>Result</t>
  </si>
  <si>
    <t>备注</t>
  </si>
  <si>
    <t>P0</t>
  </si>
  <si>
    <t>P0.5</t>
  </si>
  <si>
    <t>P100</t>
  </si>
  <si>
    <t>Bridge resistance</t>
  </si>
  <si>
    <t>过载测试工单</t>
  </si>
  <si>
    <t>JL-C3-50</t>
  </si>
  <si>
    <t>晶圆编号</t>
  </si>
  <si>
    <t>型号</t>
  </si>
  <si>
    <t>合格标准</t>
  </si>
  <si>
    <t xml:space="preserve">     过载压力：&gt;</t>
  </si>
  <si>
    <t>日期：</t>
  </si>
  <si>
    <t>测试说明</t>
  </si>
  <si>
    <t>当要求过载压力≤20MPa时，采用性能测试样品做过载测试；先做过载，再做性能测试。
当要求过载压力 &gt;20MPa时，制作成充油芯体做过载测试(不贴陶瓷)。</t>
  </si>
  <si>
    <t>制样负责人</t>
  </si>
  <si>
    <t>于浪</t>
  </si>
  <si>
    <t>测试负责人</t>
  </si>
  <si>
    <t>黄林</t>
  </si>
  <si>
    <t>坐标</t>
  </si>
  <si>
    <t>Span1</t>
  </si>
  <si>
    <t>Span2</t>
  </si>
  <si>
    <t>过载压力
结果</t>
  </si>
  <si>
    <t>R合格   £不合格</t>
  </si>
  <si>
    <t>过载测试：
1、测量芯片的Span，
2、以过载指标的20%为步进，逐步加到过载指标，保压2min之后，泄压。
3、泄压后，测量芯片的Span。
4、最后检查芯片的外观。</t>
  </si>
  <si>
    <t>M30专用芯片过压指标</t>
  </si>
  <si>
    <t>工业芯片过压指标</t>
  </si>
  <si>
    <t>标准HPT芯片过压指标</t>
  </si>
  <si>
    <t>M30代号</t>
  </si>
  <si>
    <t>正面过载</t>
  </si>
  <si>
    <t>爆破测试</t>
  </si>
  <si>
    <t>量程</t>
  </si>
  <si>
    <t>HPT-MP-k40-k100-G20</t>
  </si>
  <si>
    <t>G4</t>
  </si>
  <si>
    <t>&gt;800kPa</t>
  </si>
  <si>
    <t>&gt;400kPa</t>
  </si>
  <si>
    <t>HRT-MP-k16.7-k10.-G20/G08</t>
  </si>
  <si>
    <t>10kPa</t>
  </si>
  <si>
    <t>&gt;100kPa</t>
  </si>
  <si>
    <t>HPT-LP-k4.0-D05</t>
  </si>
  <si>
    <t>4kPa</t>
  </si>
  <si>
    <t>&gt;200kPa</t>
  </si>
  <si>
    <t>HPT-MP-k100-k400-G20</t>
  </si>
  <si>
    <t>G1</t>
  </si>
  <si>
    <t>&gt;2MPa</t>
  </si>
  <si>
    <t>&gt;1MPa</t>
  </si>
  <si>
    <t>HRT-MP-k25.-G20/G08</t>
  </si>
  <si>
    <t>25kPa</t>
  </si>
  <si>
    <t>&gt;250kPa</t>
  </si>
  <si>
    <t>HPT-LP-k10.-D05/G20</t>
  </si>
  <si>
    <t>HPT-HP-M1.1-M3.0-G20</t>
  </si>
  <si>
    <t>G2</t>
  </si>
  <si>
    <t>&gt;6Mpa</t>
  </si>
  <si>
    <t>&gt;2.5Mpa</t>
  </si>
  <si>
    <t>HRT-MP-k60.-A08/A20</t>
  </si>
  <si>
    <t>60kPa</t>
  </si>
  <si>
    <t>&gt;600kPa</t>
  </si>
  <si>
    <t>————</t>
  </si>
  <si>
    <t>HPT-MP-k40.-A08/A20</t>
  </si>
  <si>
    <t>40kPa</t>
  </si>
  <si>
    <t>HPT-HP-M5.6-M20.-G20</t>
  </si>
  <si>
    <t>G3</t>
  </si>
  <si>
    <t>&gt;30MPa</t>
  </si>
  <si>
    <t>&gt;7.5MPa</t>
  </si>
  <si>
    <t>HRT-MP-k60.-G20/G08</t>
  </si>
  <si>
    <t>HPT-MP-k40.-G08/G20/D05</t>
  </si>
  <si>
    <t>HPT-LP-k4.4-k2.0-D05</t>
  </si>
  <si>
    <t>D0</t>
  </si>
  <si>
    <t>&gt;300kPa</t>
  </si>
  <si>
    <t>&gt;150kPa</t>
  </si>
  <si>
    <t>HRT-HP-k100-A08/A20</t>
  </si>
  <si>
    <t>100kPa</t>
  </si>
  <si>
    <t>HPT-MP-k100-A08/A20</t>
  </si>
  <si>
    <t>HPT-LP-k11.1-k10.-D05</t>
  </si>
  <si>
    <t>D1</t>
  </si>
  <si>
    <t>HRT-HP-k100-G08/G20</t>
  </si>
  <si>
    <t>HPT-MP-k100-G08/G20/D05</t>
  </si>
  <si>
    <t>HPT-MP-k47.6-k100-D05</t>
  </si>
  <si>
    <t>D2</t>
  </si>
  <si>
    <t>HRT-HP-k400-A08/A20</t>
  </si>
  <si>
    <t>400kPa</t>
  </si>
  <si>
    <t>&gt;4MPa</t>
  </si>
  <si>
    <t>HPT-HP-k400-A08/A20</t>
  </si>
  <si>
    <t>HPT-MP-k189-k500-D05</t>
  </si>
  <si>
    <t>D3</t>
  </si>
  <si>
    <t>&gt;2.5MPa</t>
  </si>
  <si>
    <t>&gt;1.2MPa</t>
  </si>
  <si>
    <t>HRT-HP-k400-G08/G20</t>
  </si>
  <si>
    <t>HPT-HP-k400-G08/D05/G20</t>
  </si>
  <si>
    <t>HPT-HP-M1.1-M3.0-D05</t>
  </si>
  <si>
    <t>D4</t>
  </si>
  <si>
    <t>&gt;8Mpa</t>
  </si>
  <si>
    <t>HRT-HP-M1.0-A08/A20</t>
  </si>
  <si>
    <t>1MPa</t>
  </si>
  <si>
    <t>&gt;5MPa</t>
  </si>
  <si>
    <t>HPT-HP-M1.0-A08/A20</t>
  </si>
  <si>
    <t>&gt;6MPa</t>
  </si>
  <si>
    <t>HPT-HP-M5.6-M20.-D05</t>
  </si>
  <si>
    <t>D5</t>
  </si>
  <si>
    <t>&gt;25MPa</t>
  </si>
  <si>
    <t>&gt;3MPa</t>
  </si>
  <si>
    <t>HRT-HP-M1.0-G08/G20</t>
  </si>
  <si>
    <t>HPT-HP-M1.0-G08/D05/G20</t>
  </si>
  <si>
    <t>HPT-MP-k29.4-k25.-A08</t>
  </si>
  <si>
    <t>A0</t>
  </si>
  <si>
    <t>——</t>
  </si>
  <si>
    <t>HRT-HP-M1.6-A08/A20</t>
  </si>
  <si>
    <t>1.6MPa</t>
  </si>
  <si>
    <t>&gt;8MPa</t>
  </si>
  <si>
    <t>HPT-HP-M4.0-A08/A20</t>
  </si>
  <si>
    <t>4MPa</t>
  </si>
  <si>
    <t>&gt;12MPa</t>
  </si>
  <si>
    <t>HPT-MP-k36.1-k130-A08</t>
  </si>
  <si>
    <t>A1</t>
  </si>
  <si>
    <t>HRT-HP-M1.6-G08/G20</t>
  </si>
  <si>
    <t>&gt;4.8MPa</t>
  </si>
  <si>
    <t>HPT-HP-M4.0-G08/G20</t>
  </si>
  <si>
    <t>HPT-MP-k100-k500-A08</t>
  </si>
  <si>
    <t>A2</t>
  </si>
  <si>
    <t>&gt;2Mpa</t>
  </si>
  <si>
    <t>HRT-HP-M2.5-A08/A20</t>
  </si>
  <si>
    <t>2.5MPa</t>
  </si>
  <si>
    <t>&gt;12.5MPa</t>
  </si>
  <si>
    <t>HPT-HP-M10.-A08</t>
  </si>
  <si>
    <t>10MPa</t>
  </si>
  <si>
    <t>&gt;20MPa</t>
  </si>
  <si>
    <t>HPT-HP-M3.2-M3.2-A08</t>
  </si>
  <si>
    <t>A3</t>
  </si>
  <si>
    <t>&gt;15Mpa</t>
  </si>
  <si>
    <t>HRT-HP-M2.5-G08/G20</t>
  </si>
  <si>
    <t>HPT-HP-M40.-A08</t>
  </si>
  <si>
    <t>40MPa</t>
  </si>
  <si>
    <t>&gt;80MPa</t>
  </si>
  <si>
    <t>HPT-HP.1-M20.3-M70.-A08</t>
  </si>
  <si>
    <t>A4</t>
  </si>
  <si>
    <t>HRT-HP-M4.0-A08/A20</t>
  </si>
  <si>
    <t>HRT-HP-M4.0-G08/G20</t>
  </si>
  <si>
    <t>HRT-HP-M10.-A08/A20</t>
  </si>
  <si>
    <t>HRT-HP-M10.-G08/G20</t>
  </si>
  <si>
    <t>HRT-HP-M25.-A08/A20</t>
  </si>
  <si>
    <t>25MPa</t>
  </si>
  <si>
    <t>&gt;50MPa</t>
  </si>
  <si>
    <t>·</t>
  </si>
  <si>
    <t>HRT-HP-M25.-G08/G20</t>
  </si>
  <si>
    <t>HRT-HP-M40.-A08/A20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</si>
</sst>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(@\)"/>
    <numFmt numFmtId="178" formatCode="@\K\P\a"/>
  </numFmts>
  <fonts count="36">
    <font>
      <sz val="11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24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6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Wingdings 2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b/>
      <sz val="11"/>
      <color rgb="FF000000"/>
      <name val="等线"/>
      <charset val="134"/>
    </font>
    <font>
      <b/>
      <sz val="12"/>
      <color rgb="FF000000"/>
      <name val="Calibri Light"/>
      <charset val="134"/>
    </font>
    <font>
      <sz val="14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2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28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31" applyNumberFormat="0" applyAlignment="0" applyProtection="0">
      <alignment vertical="center"/>
    </xf>
    <xf numFmtId="0" fontId="30" fillId="16" borderId="27" applyNumberFormat="0" applyAlignment="0" applyProtection="0">
      <alignment vertical="center"/>
    </xf>
    <xf numFmtId="0" fontId="31" fillId="17" borderId="32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133">
    <xf numFmtId="0" fontId="0" fillId="0" borderId="0" xfId="0"/>
    <xf numFmtId="0" fontId="0" fillId="0" borderId="0" xfId="50"/>
    <xf numFmtId="0" fontId="0" fillId="0" borderId="0" xfId="50" applyAlignment="1">
      <alignment horizontal="center"/>
    </xf>
    <xf numFmtId="0" fontId="0" fillId="0" borderId="0" xfId="50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0" fillId="0" borderId="2" xfId="50" applyBorder="1" applyAlignment="1">
      <alignment horizontal="center" vertical="center"/>
    </xf>
    <xf numFmtId="0" fontId="0" fillId="0" borderId="3" xfId="50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0" fillId="0" borderId="5" xfId="50" applyBorder="1" applyAlignment="1">
      <alignment horizontal="center" vertical="center"/>
    </xf>
    <xf numFmtId="0" fontId="2" fillId="0" borderId="6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 wrapText="1"/>
    </xf>
    <xf numFmtId="0" fontId="2" fillId="0" borderId="8" xfId="50" applyFont="1" applyBorder="1" applyAlignment="1">
      <alignment horizontal="center" vertical="center" wrapText="1"/>
    </xf>
    <xf numFmtId="0" fontId="3" fillId="0" borderId="7" xfId="50" applyFont="1" applyFill="1" applyBorder="1" applyAlignment="1">
      <alignment horizontal="center" vertical="center" wrapText="1"/>
    </xf>
    <xf numFmtId="0" fontId="3" fillId="0" borderId="8" xfId="50" applyFont="1" applyFill="1" applyBorder="1" applyAlignment="1">
      <alignment horizontal="center" vertical="center" wrapText="1"/>
    </xf>
    <xf numFmtId="0" fontId="0" fillId="0" borderId="6" xfId="50" applyFont="1" applyBorder="1" applyAlignment="1">
      <alignment horizontal="center" vertical="center"/>
    </xf>
    <xf numFmtId="0" fontId="0" fillId="0" borderId="7" xfId="50" applyFont="1" applyBorder="1" applyAlignment="1">
      <alignment horizontal="center" vertical="center"/>
    </xf>
    <xf numFmtId="0" fontId="4" fillId="0" borderId="7" xfId="50" applyFont="1" applyFill="1" applyBorder="1" applyAlignment="1">
      <alignment horizontal="center" vertical="center" wrapText="1"/>
    </xf>
    <xf numFmtId="0" fontId="3" fillId="0" borderId="7" xfId="50" applyFont="1" applyFill="1" applyBorder="1" applyAlignment="1">
      <alignment horizontal="center" vertical="center"/>
    </xf>
    <xf numFmtId="0" fontId="3" fillId="0" borderId="8" xfId="50" applyFont="1" applyFill="1" applyBorder="1" applyAlignment="1">
      <alignment horizontal="center" vertical="center"/>
    </xf>
    <xf numFmtId="0" fontId="4" fillId="0" borderId="7" xfId="50" applyFont="1" applyFill="1" applyBorder="1" applyAlignment="1">
      <alignment horizontal="center" vertical="center"/>
    </xf>
    <xf numFmtId="0" fontId="0" fillId="2" borderId="6" xfId="49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horizontal="center" vertical="center" wrapText="1"/>
    </xf>
    <xf numFmtId="0" fontId="2" fillId="0" borderId="7" xfId="50" applyFont="1" applyBorder="1" applyAlignment="1">
      <alignment horizontal="center"/>
    </xf>
    <xf numFmtId="0" fontId="2" fillId="2" borderId="6" xfId="49" applyFont="1" applyFill="1" applyBorder="1" applyAlignment="1">
      <alignment horizontal="center" vertical="center"/>
    </xf>
    <xf numFmtId="0" fontId="0" fillId="2" borderId="6" xfId="49" applyFont="1" applyFill="1" applyBorder="1" applyAlignment="1">
      <alignment horizontal="center" vertical="center"/>
    </xf>
    <xf numFmtId="0" fontId="2" fillId="0" borderId="8" xfId="50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0" borderId="10" xfId="50" applyFont="1" applyBorder="1" applyAlignment="1">
      <alignment horizontal="center"/>
    </xf>
    <xf numFmtId="0" fontId="3" fillId="0" borderId="10" xfId="50" applyFont="1" applyFill="1" applyBorder="1" applyAlignment="1">
      <alignment horizontal="center" vertical="center"/>
    </xf>
    <xf numFmtId="0" fontId="2" fillId="0" borderId="11" xfId="50" applyFont="1" applyFill="1" applyBorder="1" applyAlignment="1">
      <alignment horizontal="center" vertical="center"/>
    </xf>
    <xf numFmtId="0" fontId="0" fillId="0" borderId="0" xfId="50" applyFont="1" applyAlignment="1"/>
    <xf numFmtId="0" fontId="0" fillId="0" borderId="0" xfId="50" applyAlignment="1"/>
    <xf numFmtId="0" fontId="0" fillId="2" borderId="9" xfId="49" applyFont="1" applyFill="1" applyBorder="1" applyAlignment="1">
      <alignment horizontal="center" vertical="center"/>
    </xf>
    <xf numFmtId="0" fontId="0" fillId="0" borderId="10" xfId="50" applyFont="1" applyBorder="1" applyAlignment="1">
      <alignment horizontal="center" vertical="center"/>
    </xf>
    <xf numFmtId="0" fontId="4" fillId="0" borderId="10" xfId="50" applyFont="1" applyFill="1" applyBorder="1" applyAlignment="1">
      <alignment horizontal="center" vertical="center"/>
    </xf>
    <xf numFmtId="0" fontId="0" fillId="0" borderId="12" xfId="50" applyBorder="1" applyAlignment="1">
      <alignment horizontal="center" vertical="center"/>
    </xf>
    <xf numFmtId="0" fontId="4" fillId="0" borderId="8" xfId="50" applyFont="1" applyFill="1" applyBorder="1" applyAlignment="1">
      <alignment horizontal="center" vertical="center" wrapText="1"/>
    </xf>
    <xf numFmtId="0" fontId="4" fillId="0" borderId="8" xfId="50" applyFont="1" applyFill="1" applyBorder="1" applyAlignment="1">
      <alignment horizontal="center" vertical="center"/>
    </xf>
    <xf numFmtId="0" fontId="0" fillId="0" borderId="8" xfId="50" applyFont="1" applyBorder="1" applyAlignment="1">
      <alignment horizontal="center" vertical="center"/>
    </xf>
    <xf numFmtId="0" fontId="0" fillId="0" borderId="8" xfId="50" applyFont="1" applyFill="1" applyBorder="1" applyAlignment="1">
      <alignment horizontal="center" vertical="center"/>
    </xf>
    <xf numFmtId="0" fontId="3" fillId="0" borderId="11" xfId="50" applyFont="1" applyFill="1" applyBorder="1" applyAlignment="1">
      <alignment horizontal="center" vertical="center"/>
    </xf>
    <xf numFmtId="0" fontId="2" fillId="2" borderId="0" xfId="49" applyFont="1" applyFill="1" applyBorder="1" applyAlignment="1">
      <alignment horizontal="center" vertical="center"/>
    </xf>
    <xf numFmtId="0" fontId="2" fillId="0" borderId="0" xfId="50" applyFont="1" applyBorder="1" applyAlignment="1">
      <alignment horizontal="center"/>
    </xf>
    <xf numFmtId="0" fontId="3" fillId="0" borderId="0" xfId="50" applyFont="1" applyFill="1" applyBorder="1" applyAlignment="1">
      <alignment horizontal="center" vertical="center"/>
    </xf>
    <xf numFmtId="0" fontId="2" fillId="0" borderId="0" xfId="50" applyFont="1" applyFill="1" applyBorder="1" applyAlignment="1">
      <alignment horizontal="center" vertical="center"/>
    </xf>
    <xf numFmtId="0" fontId="0" fillId="0" borderId="0" xfId="50" applyBorder="1"/>
    <xf numFmtId="0" fontId="0" fillId="0" borderId="0" xfId="50" applyFont="1"/>
    <xf numFmtId="0" fontId="0" fillId="0" borderId="11" xfId="50" applyFont="1" applyFill="1" applyBorder="1" applyAlignment="1">
      <alignment horizontal="center" vertical="center"/>
    </xf>
    <xf numFmtId="0" fontId="0" fillId="0" borderId="0" xfId="51"/>
    <xf numFmtId="0" fontId="0" fillId="0" borderId="0" xfId="51" applyAlignment="1">
      <alignment wrapText="1"/>
    </xf>
    <xf numFmtId="0" fontId="0" fillId="0" borderId="4" xfId="51" applyBorder="1"/>
    <xf numFmtId="0" fontId="1" fillId="0" borderId="5" xfId="51" applyFont="1" applyBorder="1" applyAlignment="1">
      <alignment horizontal="center" vertical="center" wrapText="1"/>
    </xf>
    <xf numFmtId="0" fontId="5" fillId="0" borderId="5" xfId="51" applyFont="1" applyBorder="1" applyAlignment="1">
      <alignment horizontal="center" vertical="center" wrapText="1"/>
    </xf>
    <xf numFmtId="0" fontId="0" fillId="0" borderId="5" xfId="51" applyBorder="1" applyAlignment="1">
      <alignment horizontal="center" vertical="center" wrapText="1"/>
    </xf>
    <xf numFmtId="0" fontId="0" fillId="0" borderId="12" xfId="51" applyFont="1" applyBorder="1" applyAlignment="1">
      <alignment horizontal="center" vertical="center"/>
    </xf>
    <xf numFmtId="0" fontId="0" fillId="0" borderId="13" xfId="51" applyBorder="1" applyAlignment="1">
      <alignment horizontal="center" vertical="center" wrapText="1"/>
    </xf>
    <xf numFmtId="0" fontId="0" fillId="0" borderId="14" xfId="51" applyBorder="1" applyAlignment="1">
      <alignment horizontal="center" vertical="center" wrapText="1"/>
    </xf>
    <xf numFmtId="0" fontId="0" fillId="0" borderId="15" xfId="51" applyBorder="1" applyAlignment="1">
      <alignment horizontal="center" vertical="center" wrapText="1"/>
    </xf>
    <xf numFmtId="0" fontId="6" fillId="0" borderId="6" xfId="51" applyFont="1" applyBorder="1" applyAlignment="1">
      <alignment horizontal="center" vertical="center" wrapText="1"/>
    </xf>
    <xf numFmtId="0" fontId="6" fillId="0" borderId="16" xfId="51" applyFont="1" applyBorder="1" applyAlignment="1">
      <alignment horizontal="center" vertical="center" wrapText="1"/>
    </xf>
    <xf numFmtId="0" fontId="6" fillId="0" borderId="17" xfId="51" applyFont="1" applyBorder="1" applyAlignment="1">
      <alignment horizontal="center" vertical="center" wrapText="1"/>
    </xf>
    <xf numFmtId="0" fontId="6" fillId="0" borderId="7" xfId="51" applyFont="1" applyBorder="1" applyAlignment="1">
      <alignment horizontal="center" vertical="center"/>
    </xf>
    <xf numFmtId="0" fontId="6" fillId="0" borderId="8" xfId="51" applyFont="1" applyBorder="1" applyAlignment="1">
      <alignment horizontal="center" vertical="center"/>
    </xf>
    <xf numFmtId="0" fontId="6" fillId="0" borderId="18" xfId="51" applyFont="1" applyBorder="1" applyAlignment="1">
      <alignment horizontal="center" vertical="center" wrapText="1"/>
    </xf>
    <xf numFmtId="0" fontId="6" fillId="0" borderId="7" xfId="51" applyFont="1" applyBorder="1" applyAlignment="1">
      <alignment horizontal="left" vertical="center" wrapText="1"/>
    </xf>
    <xf numFmtId="0" fontId="6" fillId="0" borderId="7" xfId="51" applyFont="1" applyBorder="1" applyAlignment="1">
      <alignment vertical="center" wrapText="1"/>
    </xf>
    <xf numFmtId="0" fontId="6" fillId="0" borderId="19" xfId="51" applyFont="1" applyBorder="1" applyAlignment="1">
      <alignment vertical="center"/>
    </xf>
    <xf numFmtId="0" fontId="6" fillId="0" borderId="6" xfId="51" applyFont="1" applyBorder="1" applyAlignment="1">
      <alignment horizontal="center" vertical="center"/>
    </xf>
    <xf numFmtId="0" fontId="7" fillId="0" borderId="16" xfId="51" applyFont="1" applyBorder="1" applyAlignment="1">
      <alignment horizontal="left" vertical="center" wrapText="1"/>
    </xf>
    <xf numFmtId="0" fontId="7" fillId="0" borderId="14" xfId="51" applyFont="1" applyBorder="1" applyAlignment="1">
      <alignment horizontal="left" vertical="center" wrapText="1"/>
    </xf>
    <xf numFmtId="0" fontId="8" fillId="0" borderId="14" xfId="51" applyFont="1" applyBorder="1" applyAlignment="1">
      <alignment horizontal="left" vertical="center" wrapText="1"/>
    </xf>
    <xf numFmtId="0" fontId="8" fillId="0" borderId="17" xfId="51" applyFont="1" applyBorder="1" applyAlignment="1">
      <alignment horizontal="left" vertical="center" wrapText="1"/>
    </xf>
    <xf numFmtId="0" fontId="0" fillId="0" borderId="8" xfId="51" applyBorder="1" applyAlignment="1">
      <alignment vertical="center"/>
    </xf>
    <xf numFmtId="0" fontId="6" fillId="0" borderId="7" xfId="51" applyFont="1" applyBorder="1" applyAlignment="1">
      <alignment horizontal="center" vertical="center" wrapText="1"/>
    </xf>
    <xf numFmtId="0" fontId="9" fillId="0" borderId="8" xfId="51" applyFont="1" applyBorder="1" applyAlignment="1">
      <alignment horizontal="left" vertical="center" wrapText="1"/>
    </xf>
    <xf numFmtId="0" fontId="6" fillId="0" borderId="16" xfId="51" applyFont="1" applyBorder="1" applyAlignment="1">
      <alignment horizontal="center" vertical="center"/>
    </xf>
    <xf numFmtId="0" fontId="6" fillId="0" borderId="17" xfId="51" applyFont="1" applyBorder="1" applyAlignment="1">
      <alignment horizontal="center" vertical="center"/>
    </xf>
    <xf numFmtId="0" fontId="0" fillId="0" borderId="19" xfId="51" applyBorder="1" applyAlignment="1">
      <alignment horizontal="center"/>
    </xf>
    <xf numFmtId="177" fontId="0" fillId="0" borderId="6" xfId="51" applyNumberFormat="1" applyBorder="1" applyAlignment="1">
      <alignment horizontal="center" vertical="center"/>
    </xf>
    <xf numFmtId="0" fontId="0" fillId="0" borderId="7" xfId="51" applyBorder="1" applyAlignment="1">
      <alignment wrapText="1"/>
    </xf>
    <xf numFmtId="0" fontId="10" fillId="0" borderId="16" xfId="51" applyFont="1" applyBorder="1" applyAlignment="1">
      <alignment horizontal="center" vertical="center"/>
    </xf>
    <xf numFmtId="0" fontId="10" fillId="0" borderId="17" xfId="51" applyFont="1" applyBorder="1" applyAlignment="1">
      <alignment horizontal="center" vertical="center"/>
    </xf>
    <xf numFmtId="0" fontId="0" fillId="0" borderId="20" xfId="51" applyBorder="1" applyAlignment="1">
      <alignment horizontal="center"/>
    </xf>
    <xf numFmtId="177" fontId="6" fillId="0" borderId="6" xfId="51" applyNumberFormat="1" applyFont="1" applyBorder="1" applyAlignment="1">
      <alignment horizontal="center" vertical="center" wrapText="1"/>
    </xf>
    <xf numFmtId="0" fontId="0" fillId="0" borderId="21" xfId="51" applyBorder="1" applyAlignment="1">
      <alignment horizontal="center"/>
    </xf>
    <xf numFmtId="0" fontId="7" fillId="0" borderId="9" xfId="51" applyFont="1" applyBorder="1" applyAlignment="1">
      <alignment horizontal="left" vertical="center" wrapText="1"/>
    </xf>
    <xf numFmtId="0" fontId="0" fillId="0" borderId="10" xfId="51" applyBorder="1" applyAlignment="1">
      <alignment horizontal="left" vertical="center" wrapText="1"/>
    </xf>
    <xf numFmtId="0" fontId="0" fillId="0" borderId="22" xfId="51" applyBorder="1" applyAlignment="1">
      <alignment vertical="center" wrapText="1"/>
    </xf>
    <xf numFmtId="0" fontId="11" fillId="0" borderId="0" xfId="49" applyFont="1" applyAlignment="1">
      <alignment horizontal="left" vertical="center"/>
    </xf>
    <xf numFmtId="0" fontId="11" fillId="0" borderId="0" xfId="49" applyFont="1">
      <alignment vertical="center"/>
    </xf>
    <xf numFmtId="0" fontId="11" fillId="0" borderId="0" xfId="49" applyFont="1" applyAlignment="1">
      <alignment horizontal="center" vertical="center"/>
    </xf>
    <xf numFmtId="0" fontId="11" fillId="0" borderId="7" xfId="49" applyFont="1" applyBorder="1" applyAlignment="1">
      <alignment horizontal="center" vertical="center"/>
    </xf>
    <xf numFmtId="0" fontId="11" fillId="0" borderId="23" xfId="49" applyFont="1" applyBorder="1" applyAlignment="1">
      <alignment horizontal="center" vertical="center"/>
    </xf>
    <xf numFmtId="0" fontId="11" fillId="0" borderId="7" xfId="49" applyFont="1" applyBorder="1" applyAlignment="1">
      <alignment horizontal="center" vertical="center" wrapText="1"/>
    </xf>
    <xf numFmtId="0" fontId="11" fillId="3" borderId="7" xfId="49" applyFont="1" applyFill="1" applyBorder="1" applyAlignment="1">
      <alignment horizontal="center" vertical="center"/>
    </xf>
    <xf numFmtId="0" fontId="11" fillId="0" borderId="24" xfId="49" applyFont="1" applyBorder="1" applyAlignment="1">
      <alignment horizontal="center" vertical="center"/>
    </xf>
    <xf numFmtId="0" fontId="11" fillId="4" borderId="7" xfId="49" applyFont="1" applyFill="1" applyBorder="1" applyAlignment="1">
      <alignment horizontal="center" vertical="center"/>
    </xf>
    <xf numFmtId="0" fontId="11" fillId="0" borderId="23" xfId="49" applyFont="1" applyBorder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1" fillId="5" borderId="7" xfId="49" applyFont="1" applyFill="1" applyBorder="1" applyAlignment="1">
      <alignment horizontal="center" vertical="center"/>
    </xf>
    <xf numFmtId="0" fontId="11" fillId="6" borderId="7" xfId="49" applyFont="1" applyFill="1" applyBorder="1" applyAlignment="1">
      <alignment horizontal="center" vertical="center"/>
    </xf>
    <xf numFmtId="0" fontId="13" fillId="0" borderId="0" xfId="49" applyFont="1" applyAlignment="1">
      <alignment horizontal="center"/>
    </xf>
    <xf numFmtId="0" fontId="11" fillId="0" borderId="0" xfId="0" applyFont="1" applyFill="1" applyBorder="1" applyAlignment="1"/>
    <xf numFmtId="0" fontId="11" fillId="0" borderId="7" xfId="49" applyFont="1" applyBorder="1" applyAlignment="1">
      <alignment horizontal="left" vertical="center"/>
    </xf>
    <xf numFmtId="0" fontId="14" fillId="0" borderId="0" xfId="0" applyFont="1"/>
    <xf numFmtId="0" fontId="1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6" xfId="0" applyBorder="1" applyAlignment="1"/>
    <xf numFmtId="0" fontId="0" fillId="0" borderId="0" xfId="0" applyAlignment="1"/>
    <xf numFmtId="0" fontId="0" fillId="0" borderId="0" xfId="0" applyAlignment="1">
      <alignment wrapText="1"/>
    </xf>
    <xf numFmtId="0" fontId="16" fillId="0" borderId="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7" xfId="0" applyNumberFormat="1" applyFont="1" applyFill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76835</xdr:colOff>
      <xdr:row>0</xdr:row>
      <xdr:rowOff>150495</xdr:rowOff>
    </xdr:from>
    <xdr:ext cx="624051" cy="5579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" t="39518" r="83831" b="36461"/>
        <a:stretch>
          <a:fillRect/>
        </a:stretch>
      </xdr:blipFill>
      <xdr:spPr>
        <a:xfrm>
          <a:off x="76835" y="150495"/>
          <a:ext cx="62357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76835</xdr:colOff>
      <xdr:row>0</xdr:row>
      <xdr:rowOff>150495</xdr:rowOff>
    </xdr:from>
    <xdr:ext cx="624051" cy="557950"/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" t="39518" r="83831" b="36461"/>
        <a:stretch>
          <a:fillRect/>
        </a:stretch>
      </xdr:blipFill>
      <xdr:spPr>
        <a:xfrm>
          <a:off x="76835" y="150495"/>
          <a:ext cx="62357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115" zoomScaleNormal="115" workbookViewId="0">
      <selection activeCell="B5" sqref="B5:D5"/>
    </sheetView>
  </sheetViews>
  <sheetFormatPr defaultColWidth="9" defaultRowHeight="14.25"/>
  <cols>
    <col min="1" max="1" width="11.5833333333333" customWidth="1"/>
    <col min="2" max="2" width="12.4166666666667" customWidth="1"/>
    <col min="3" max="3" width="9.25" customWidth="1"/>
    <col min="4" max="4" width="22.0833333333333" customWidth="1"/>
    <col min="5" max="5" width="19.0833333333333" customWidth="1"/>
    <col min="6" max="6" width="17.5" style="119" customWidth="1"/>
    <col min="7" max="7" width="10.5833333333333" customWidth="1"/>
    <col min="8" max="8" width="21" customWidth="1"/>
    <col min="9" max="9" width="21.75" customWidth="1"/>
    <col min="10" max="10" width="21" customWidth="1"/>
    <col min="11" max="11" width="21.75" customWidth="1"/>
    <col min="12" max="12" width="21" customWidth="1"/>
    <col min="13" max="13" width="39.25" customWidth="1"/>
  </cols>
  <sheetData>
    <row r="1" ht="56.15" customHeight="1" spans="1:12">
      <c r="A1" s="120" t="s">
        <v>0</v>
      </c>
      <c r="B1" s="113"/>
      <c r="C1" s="113"/>
      <c r="D1" s="113"/>
      <c r="E1" s="113"/>
      <c r="F1" s="113"/>
      <c r="G1" s="121"/>
      <c r="H1" s="122">
        <v>1</v>
      </c>
      <c r="I1" s="122">
        <v>2</v>
      </c>
      <c r="J1" s="122">
        <v>3</v>
      </c>
      <c r="K1" s="122">
        <v>4</v>
      </c>
      <c r="L1" s="122">
        <v>5</v>
      </c>
    </row>
    <row r="2" ht="52" customHeight="1" spans="1:12">
      <c r="A2" s="114" t="s">
        <v>1</v>
      </c>
      <c r="B2" s="114"/>
      <c r="C2" s="114" t="s">
        <v>2</v>
      </c>
      <c r="D2" s="114"/>
      <c r="E2" s="114" t="s">
        <v>3</v>
      </c>
      <c r="F2" s="123"/>
      <c r="G2" s="113" t="s">
        <v>4</v>
      </c>
      <c r="H2" s="124"/>
      <c r="I2" s="124"/>
      <c r="J2" s="124"/>
      <c r="K2" s="124"/>
      <c r="L2" s="124"/>
    </row>
    <row r="3" ht="31.5" customHeight="1" spans="1:13">
      <c r="A3" s="113" t="s">
        <v>5</v>
      </c>
      <c r="B3" s="121" t="s">
        <v>6</v>
      </c>
      <c r="C3" s="125"/>
      <c r="D3" s="126"/>
      <c r="E3" s="113" t="s">
        <v>7</v>
      </c>
      <c r="F3" s="114" t="s">
        <v>8</v>
      </c>
      <c r="G3" s="115"/>
      <c r="H3" s="127"/>
      <c r="I3" s="127"/>
      <c r="J3" s="127"/>
      <c r="K3" s="127"/>
      <c r="L3" s="127"/>
      <c r="M3" s="119"/>
    </row>
    <row r="4" ht="20.15" customHeight="1" spans="1:12">
      <c r="A4" s="115">
        <v>1</v>
      </c>
      <c r="B4" s="128"/>
      <c r="C4" s="128"/>
      <c r="D4" s="128"/>
      <c r="E4" s="129"/>
      <c r="F4" s="115"/>
      <c r="G4" s="115"/>
      <c r="H4" s="127"/>
      <c r="I4" s="127"/>
      <c r="J4" s="127"/>
      <c r="K4" s="127"/>
      <c r="L4" s="127"/>
    </row>
    <row r="5" ht="20.15" customHeight="1" spans="1:12">
      <c r="A5" s="115">
        <v>2</v>
      </c>
      <c r="B5" s="128"/>
      <c r="C5" s="128"/>
      <c r="D5" s="128"/>
      <c r="E5" s="129"/>
      <c r="F5" s="115"/>
      <c r="G5" s="115"/>
      <c r="H5" s="127"/>
      <c r="I5" s="127"/>
      <c r="J5" s="127"/>
      <c r="K5" s="127"/>
      <c r="L5" s="127"/>
    </row>
    <row r="6" ht="20.15" customHeight="1" spans="1:13">
      <c r="A6" s="115">
        <v>3</v>
      </c>
      <c r="B6" s="128"/>
      <c r="C6" s="128"/>
      <c r="D6" s="128"/>
      <c r="E6" s="129"/>
      <c r="F6" s="115"/>
      <c r="G6" s="115"/>
      <c r="H6" s="127"/>
      <c r="I6" s="127"/>
      <c r="J6" s="127"/>
      <c r="K6" s="127"/>
      <c r="L6" s="127"/>
      <c r="M6" s="119"/>
    </row>
    <row r="7" ht="20.15" customHeight="1" spans="1:13">
      <c r="A7" s="115">
        <v>4</v>
      </c>
      <c r="B7" s="128"/>
      <c r="C7" s="128"/>
      <c r="D7" s="128"/>
      <c r="E7" s="129"/>
      <c r="F7" s="115"/>
      <c r="G7" s="115"/>
      <c r="H7" s="127"/>
      <c r="I7" s="127"/>
      <c r="J7" s="127"/>
      <c r="K7" s="127"/>
      <c r="L7" s="127"/>
      <c r="M7" s="119"/>
    </row>
    <row r="8" ht="20.15" customHeight="1" spans="1:12">
      <c r="A8" s="115">
        <v>5</v>
      </c>
      <c r="B8" s="128"/>
      <c r="C8" s="128"/>
      <c r="D8" s="128"/>
      <c r="E8" s="129"/>
      <c r="F8" s="115"/>
      <c r="G8" s="115"/>
      <c r="H8" s="127"/>
      <c r="I8" s="127"/>
      <c r="J8" s="127"/>
      <c r="K8" s="127"/>
      <c r="L8" s="127"/>
    </row>
    <row r="9" ht="21" customHeight="1" spans="1:7">
      <c r="A9" s="130" t="s">
        <v>9</v>
      </c>
      <c r="B9" s="131"/>
      <c r="C9" s="131"/>
      <c r="D9" s="131"/>
      <c r="E9" s="131"/>
      <c r="F9" s="131"/>
      <c r="G9" s="131"/>
    </row>
    <row r="10" ht="73" customHeight="1" spans="1:7">
      <c r="A10" s="131"/>
      <c r="B10" s="131"/>
      <c r="C10" s="131"/>
      <c r="D10" s="131"/>
      <c r="E10" s="131"/>
      <c r="F10" s="131"/>
      <c r="G10" s="131"/>
    </row>
    <row r="11" spans="13:13">
      <c r="M11" s="119"/>
    </row>
    <row r="13" spans="13:13">
      <c r="M13" s="119"/>
    </row>
    <row r="17" spans="1:6">
      <c r="A17" s="132"/>
      <c r="B17" s="132"/>
      <c r="C17" s="132"/>
      <c r="D17" s="132"/>
      <c r="E17" s="132"/>
      <c r="F17" s="124"/>
    </row>
  </sheetData>
  <mergeCells count="18">
    <mergeCell ref="A1:G1"/>
    <mergeCell ref="B3:D3"/>
    <mergeCell ref="B4:D4"/>
    <mergeCell ref="B5:D5"/>
    <mergeCell ref="B6:D6"/>
    <mergeCell ref="B7:D7"/>
    <mergeCell ref="B8:D8"/>
    <mergeCell ref="H1:H2"/>
    <mergeCell ref="H3:H8"/>
    <mergeCell ref="I1:I2"/>
    <mergeCell ref="I3:I8"/>
    <mergeCell ref="J1:J2"/>
    <mergeCell ref="J3:J8"/>
    <mergeCell ref="K1:K2"/>
    <mergeCell ref="K3:K8"/>
    <mergeCell ref="L1:L2"/>
    <mergeCell ref="L3:L8"/>
    <mergeCell ref="A9:G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0" sqref="E10"/>
    </sheetView>
  </sheetViews>
  <sheetFormatPr defaultColWidth="9" defaultRowHeight="14.25" outlineLevelCol="6"/>
  <cols>
    <col min="1" max="1" width="16.0833333333333" customWidth="1"/>
    <col min="2" max="2" width="12.5833333333333" customWidth="1"/>
    <col min="3" max="3" width="11.8333333333333" customWidth="1"/>
    <col min="5" max="5" width="12.3333333333333" customWidth="1"/>
    <col min="6" max="6" width="10.5833333333333" customWidth="1"/>
    <col min="7" max="7" width="11" customWidth="1"/>
  </cols>
  <sheetData>
    <row r="1" ht="56.15" customHeight="1" spans="1:7">
      <c r="A1" s="112" t="s">
        <v>10</v>
      </c>
      <c r="B1" s="112"/>
      <c r="C1" s="113"/>
      <c r="D1" s="113"/>
      <c r="E1" s="113"/>
      <c r="F1" s="113"/>
      <c r="G1" s="113"/>
    </row>
    <row r="2" ht="40.5" customHeight="1" spans="1:7">
      <c r="A2" s="113" t="s">
        <v>1</v>
      </c>
      <c r="B2" s="113"/>
      <c r="C2" s="113"/>
      <c r="D2" s="114" t="s">
        <v>2</v>
      </c>
      <c r="E2" s="114"/>
      <c r="F2" s="114"/>
      <c r="G2" s="114"/>
    </row>
    <row r="3" ht="63.5" customHeight="1" spans="1:7">
      <c r="A3" s="113" t="s">
        <v>5</v>
      </c>
      <c r="B3" s="113" t="s">
        <v>11</v>
      </c>
      <c r="C3" s="113" t="s">
        <v>12</v>
      </c>
      <c r="D3" s="113" t="s">
        <v>13</v>
      </c>
      <c r="E3" s="113"/>
      <c r="F3" s="114" t="s">
        <v>14</v>
      </c>
      <c r="G3" s="113" t="s">
        <v>15</v>
      </c>
    </row>
    <row r="4" ht="30" customHeight="1" spans="1:7">
      <c r="A4" s="115">
        <v>1</v>
      </c>
      <c r="B4" s="115"/>
      <c r="C4" s="115"/>
      <c r="D4" s="115"/>
      <c r="E4" s="115"/>
      <c r="F4" s="116"/>
      <c r="G4" s="115"/>
    </row>
    <row r="5" ht="30" customHeight="1" spans="1:7">
      <c r="A5" s="115">
        <v>2</v>
      </c>
      <c r="B5" s="115"/>
      <c r="C5" s="115"/>
      <c r="D5" s="115"/>
      <c r="E5" s="115"/>
      <c r="F5" s="116"/>
      <c r="G5" s="115"/>
    </row>
    <row r="6" ht="30" customHeight="1" spans="1:7">
      <c r="A6" s="115">
        <v>3</v>
      </c>
      <c r="B6" s="115"/>
      <c r="C6" s="115"/>
      <c r="D6" s="115"/>
      <c r="E6" s="115"/>
      <c r="F6" s="116"/>
      <c r="G6" s="115"/>
    </row>
    <row r="7" ht="30" customHeight="1" spans="1:7">
      <c r="A7" s="115">
        <v>4</v>
      </c>
      <c r="B7" s="115"/>
      <c r="C7" s="115"/>
      <c r="D7" s="115"/>
      <c r="E7" s="115"/>
      <c r="F7" s="116"/>
      <c r="G7" s="115"/>
    </row>
    <row r="8" ht="30" customHeight="1" spans="1:7">
      <c r="A8" s="115">
        <v>5</v>
      </c>
      <c r="B8" s="115"/>
      <c r="C8" s="115"/>
      <c r="D8" s="115"/>
      <c r="E8" s="115"/>
      <c r="F8" s="116"/>
      <c r="G8" s="115"/>
    </row>
    <row r="9" ht="42" customHeight="1" spans="1:7">
      <c r="A9" s="117"/>
      <c r="B9" s="117"/>
      <c r="C9" s="117"/>
      <c r="D9" s="117"/>
      <c r="E9" s="117"/>
      <c r="F9" s="117"/>
      <c r="G9" s="117"/>
    </row>
    <row r="10" ht="45.65" customHeight="1" spans="1:7">
      <c r="A10" s="118"/>
      <c r="B10" s="118"/>
      <c r="C10" s="118"/>
      <c r="D10" s="118"/>
      <c r="E10" s="118"/>
      <c r="F10" s="118"/>
      <c r="G10" s="118"/>
    </row>
    <row r="11" ht="40" customHeight="1" spans="1:7">
      <c r="A11" s="118"/>
      <c r="B11" s="118"/>
      <c r="C11" s="118"/>
      <c r="D11" s="118"/>
      <c r="E11" s="118"/>
      <c r="F11" s="118"/>
      <c r="G11" s="118"/>
    </row>
    <row r="12" spans="1:7">
      <c r="A12" s="118"/>
      <c r="B12" s="118"/>
      <c r="C12" s="118"/>
      <c r="D12" s="118"/>
      <c r="E12" s="118"/>
      <c r="F12" s="118"/>
      <c r="G12" s="118"/>
    </row>
    <row r="13" spans="1:7">
      <c r="A13" s="118"/>
      <c r="B13" s="118"/>
      <c r="C13" s="118"/>
      <c r="D13" s="118"/>
      <c r="E13" s="118"/>
      <c r="F13" s="118"/>
      <c r="G13" s="118"/>
    </row>
    <row r="14" spans="1:7">
      <c r="A14" s="118"/>
      <c r="B14" s="118"/>
      <c r="C14" s="118"/>
      <c r="D14" s="118"/>
      <c r="E14" s="118"/>
      <c r="F14" s="118"/>
      <c r="G14" s="118"/>
    </row>
    <row r="15" spans="1:7">
      <c r="A15" s="118"/>
      <c r="B15" s="118"/>
      <c r="C15" s="118"/>
      <c r="D15" s="118"/>
      <c r="E15" s="118"/>
      <c r="F15" s="118"/>
      <c r="G15" s="118"/>
    </row>
    <row r="16" spans="1:7">
      <c r="A16" s="118"/>
      <c r="B16" s="118"/>
      <c r="C16" s="118"/>
      <c r="D16" s="118"/>
      <c r="E16" s="118"/>
      <c r="F16" s="118"/>
      <c r="G16" s="118"/>
    </row>
    <row r="17" spans="1:7">
      <c r="A17" s="118"/>
      <c r="B17" s="118"/>
      <c r="C17" s="118"/>
      <c r="D17" s="118"/>
      <c r="E17" s="118"/>
      <c r="F17" s="118"/>
      <c r="G17" s="118"/>
    </row>
    <row r="18" spans="1:7">
      <c r="A18" s="118"/>
      <c r="B18" s="118"/>
      <c r="C18" s="118"/>
      <c r="D18" s="118"/>
      <c r="E18" s="118"/>
      <c r="F18" s="118"/>
      <c r="G18" s="118"/>
    </row>
    <row r="19" spans="1:7">
      <c r="A19" s="118"/>
      <c r="B19" s="118"/>
      <c r="C19" s="118"/>
      <c r="D19" s="118"/>
      <c r="E19" s="118"/>
      <c r="F19" s="118"/>
      <c r="G19" s="118"/>
    </row>
    <row r="20" spans="1:7">
      <c r="A20" s="118"/>
      <c r="B20" s="118"/>
      <c r="C20" s="118"/>
      <c r="D20" s="118"/>
      <c r="E20" s="118"/>
      <c r="F20" s="118"/>
      <c r="G20" s="118"/>
    </row>
  </sheetData>
  <mergeCells count="9">
    <mergeCell ref="A1:G1"/>
    <mergeCell ref="B2:C2"/>
    <mergeCell ref="E2:G2"/>
    <mergeCell ref="D3:E3"/>
    <mergeCell ref="D4:E4"/>
    <mergeCell ref="D5:E5"/>
    <mergeCell ref="D6:E6"/>
    <mergeCell ref="D7:E7"/>
    <mergeCell ref="D8:E8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"/>
  <sheetViews>
    <sheetView tabSelected="1" zoomScale="145" zoomScaleNormal="145" workbookViewId="0">
      <pane xSplit="2" ySplit="3" topLeftCell="AI4" activePane="bottomRight" state="frozen"/>
      <selection/>
      <selection pane="topRight"/>
      <selection pane="bottomLeft"/>
      <selection pane="bottomRight" activeCell="L21" sqref="L21:M24"/>
    </sheetView>
  </sheetViews>
  <sheetFormatPr defaultColWidth="8.25" defaultRowHeight="14.25" outlineLevelRow="7"/>
  <cols>
    <col min="1" max="1" width="5.5" style="90" customWidth="1"/>
    <col min="2" max="2" width="9.08333333333333" style="90" customWidth="1"/>
    <col min="3" max="3" width="14.0833333333333" style="90" customWidth="1"/>
    <col min="4" max="5" width="9.08333333333333" style="91" customWidth="1"/>
    <col min="6" max="6" width="9.58333333333333" style="90" customWidth="1"/>
    <col min="7" max="7" width="10.5" style="90" customWidth="1"/>
    <col min="8" max="8" width="11.5833333333333" style="90" customWidth="1"/>
    <col min="9" max="12" width="9.58333333333333" style="90" customWidth="1"/>
    <col min="13" max="13" width="11.5833333333333" style="90" customWidth="1"/>
    <col min="14" max="16" width="9.58333333333333" style="90" customWidth="1"/>
    <col min="17" max="17" width="10.5" style="90" customWidth="1"/>
    <col min="18" max="18" width="11.5833333333333" style="90" customWidth="1"/>
    <col min="19" max="22" width="9.58333333333333" style="90" customWidth="1"/>
    <col min="23" max="23" width="11.5833333333333" style="90" customWidth="1"/>
    <col min="24" max="26" width="9.58333333333333" style="90" customWidth="1"/>
    <col min="27" max="27" width="10.5" style="90" customWidth="1"/>
    <col min="28" max="28" width="11.5833333333333" style="90" customWidth="1"/>
    <col min="29" max="32" width="9.58333333333333" style="90" customWidth="1"/>
    <col min="33" max="33" width="11.5833333333333" style="90" customWidth="1"/>
    <col min="34" max="35" width="9.58333333333333" style="90" customWidth="1"/>
    <col min="36" max="37" width="8.08333333333333" style="90" customWidth="1"/>
    <col min="38" max="38" width="9.58333333333333" style="90" customWidth="1"/>
    <col min="39" max="43" width="8.33333333333333" style="90" customWidth="1"/>
    <col min="44" max="44" width="10.0833333333333" style="90" customWidth="1"/>
    <col min="45" max="45" width="8.08333333333333" style="90" customWidth="1"/>
    <col min="46" max="46" width="7.08333333333333" style="90" customWidth="1"/>
    <col min="47" max="47" width="12.875" style="90" customWidth="1"/>
    <col min="48" max="48" width="3.83333333333333" style="90" customWidth="1"/>
    <col min="49" max="50" width="9.58333333333333" style="90" customWidth="1"/>
    <col min="51" max="51" width="18.5" style="90" customWidth="1"/>
    <col min="52" max="16384" width="8.25" style="90"/>
  </cols>
  <sheetData>
    <row r="1" spans="1:35">
      <c r="A1" s="92" t="s">
        <v>16</v>
      </c>
      <c r="B1" s="93" t="s">
        <v>17</v>
      </c>
      <c r="C1" s="92" t="s">
        <v>18</v>
      </c>
      <c r="D1" s="94" t="s">
        <v>19</v>
      </c>
      <c r="E1" s="94" t="s">
        <v>20</v>
      </c>
      <c r="F1" s="95" t="s">
        <v>21</v>
      </c>
      <c r="G1" s="95"/>
      <c r="H1" s="95"/>
      <c r="I1" s="95"/>
      <c r="J1" s="95"/>
      <c r="K1" s="95"/>
      <c r="L1" s="95"/>
      <c r="M1" s="95"/>
      <c r="N1" s="95"/>
      <c r="O1" s="95"/>
      <c r="P1" s="106" t="s">
        <v>22</v>
      </c>
      <c r="Q1" s="106"/>
      <c r="R1" s="106"/>
      <c r="S1" s="106"/>
      <c r="T1" s="106"/>
      <c r="U1" s="106"/>
      <c r="V1" s="106"/>
      <c r="W1" s="106"/>
      <c r="X1" s="106"/>
      <c r="Y1" s="106"/>
      <c r="Z1" s="95" t="s">
        <v>21</v>
      </c>
      <c r="AA1" s="95"/>
      <c r="AB1" s="95"/>
      <c r="AC1" s="95"/>
      <c r="AD1" s="95"/>
      <c r="AE1" s="95"/>
      <c r="AF1" s="95"/>
      <c r="AG1" s="95"/>
      <c r="AH1" s="95"/>
      <c r="AI1" s="95"/>
    </row>
    <row r="2" spans="1:35">
      <c r="A2" s="92"/>
      <c r="B2" s="96"/>
      <c r="C2" s="92"/>
      <c r="D2" s="92"/>
      <c r="E2" s="92"/>
      <c r="F2" s="97">
        <f>AV4</f>
        <v>0</v>
      </c>
      <c r="G2" s="97"/>
      <c r="H2" s="97"/>
      <c r="I2" s="97"/>
      <c r="J2" s="107">
        <f>AW4</f>
        <v>0.5</v>
      </c>
      <c r="K2" s="97">
        <f>AX4</f>
        <v>1</v>
      </c>
      <c r="L2" s="107">
        <f>J2</f>
        <v>0.5</v>
      </c>
      <c r="M2" s="97">
        <f>F2</f>
        <v>0</v>
      </c>
      <c r="N2" s="97"/>
      <c r="O2" s="97"/>
      <c r="P2" s="97">
        <f>F2</f>
        <v>0</v>
      </c>
      <c r="Q2" s="97"/>
      <c r="R2" s="97"/>
      <c r="S2" s="97"/>
      <c r="T2" s="107">
        <f>J2</f>
        <v>0.5</v>
      </c>
      <c r="U2" s="97">
        <f>K2</f>
        <v>1</v>
      </c>
      <c r="V2" s="107">
        <f>L2</f>
        <v>0.5</v>
      </c>
      <c r="W2" s="97">
        <f>M2</f>
        <v>0</v>
      </c>
      <c r="X2" s="97"/>
      <c r="Y2" s="97"/>
      <c r="Z2" s="97">
        <f>P2</f>
        <v>0</v>
      </c>
      <c r="AA2" s="97"/>
      <c r="AB2" s="97"/>
      <c r="AC2" s="97"/>
      <c r="AD2" s="107">
        <f>T2</f>
        <v>0.5</v>
      </c>
      <c r="AE2" s="97">
        <f>U2</f>
        <v>1</v>
      </c>
      <c r="AF2" s="107">
        <f>V2</f>
        <v>0.5</v>
      </c>
      <c r="AG2" s="97">
        <f>W2</f>
        <v>0</v>
      </c>
      <c r="AH2" s="97"/>
      <c r="AI2" s="97"/>
    </row>
    <row r="3" ht="15.75" spans="1:51">
      <c r="A3" s="98"/>
      <c r="B3" s="96"/>
      <c r="C3" s="93"/>
      <c r="D3" s="93"/>
      <c r="E3" s="93"/>
      <c r="F3" s="98" t="s">
        <v>23</v>
      </c>
      <c r="G3" s="98" t="s">
        <v>24</v>
      </c>
      <c r="H3" s="98" t="s">
        <v>25</v>
      </c>
      <c r="I3" s="98" t="s">
        <v>26</v>
      </c>
      <c r="J3" s="98" t="s">
        <v>27</v>
      </c>
      <c r="K3" s="98" t="s">
        <v>28</v>
      </c>
      <c r="L3" s="98" t="s">
        <v>27</v>
      </c>
      <c r="M3" s="98" t="s">
        <v>25</v>
      </c>
      <c r="N3" s="98" t="s">
        <v>26</v>
      </c>
      <c r="O3" s="98" t="s">
        <v>29</v>
      </c>
      <c r="P3" s="98" t="s">
        <v>23</v>
      </c>
      <c r="Q3" s="98" t="s">
        <v>24</v>
      </c>
      <c r="R3" s="98" t="s">
        <v>25</v>
      </c>
      <c r="S3" s="98" t="s">
        <v>26</v>
      </c>
      <c r="T3" s="98" t="s">
        <v>27</v>
      </c>
      <c r="U3" s="98" t="s">
        <v>28</v>
      </c>
      <c r="V3" s="98" t="s">
        <v>27</v>
      </c>
      <c r="W3" s="98" t="s">
        <v>25</v>
      </c>
      <c r="X3" s="98" t="s">
        <v>26</v>
      </c>
      <c r="Y3" s="98" t="s">
        <v>29</v>
      </c>
      <c r="Z3" s="98" t="s">
        <v>23</v>
      </c>
      <c r="AA3" s="98" t="s">
        <v>24</v>
      </c>
      <c r="AB3" s="98" t="s">
        <v>25</v>
      </c>
      <c r="AC3" s="98" t="s">
        <v>26</v>
      </c>
      <c r="AD3" s="98" t="s">
        <v>27</v>
      </c>
      <c r="AE3" s="98" t="s">
        <v>28</v>
      </c>
      <c r="AF3" s="98" t="s">
        <v>27</v>
      </c>
      <c r="AG3" s="98" t="s">
        <v>25</v>
      </c>
      <c r="AH3" s="98" t="s">
        <v>26</v>
      </c>
      <c r="AI3" s="98" t="s">
        <v>29</v>
      </c>
      <c r="AJ3" s="108" t="s">
        <v>30</v>
      </c>
      <c r="AK3" s="108" t="s">
        <v>31</v>
      </c>
      <c r="AL3" s="108" t="s">
        <v>32</v>
      </c>
      <c r="AM3" s="108" t="s">
        <v>33</v>
      </c>
      <c r="AN3" s="108" t="s">
        <v>34</v>
      </c>
      <c r="AO3" s="108" t="s">
        <v>35</v>
      </c>
      <c r="AP3" s="108" t="s">
        <v>36</v>
      </c>
      <c r="AQ3" s="108" t="s">
        <v>37</v>
      </c>
      <c r="AR3" s="108" t="s">
        <v>38</v>
      </c>
      <c r="AS3" s="108" t="s">
        <v>39</v>
      </c>
      <c r="AT3" s="108" t="s">
        <v>40</v>
      </c>
      <c r="AU3" s="90" t="s">
        <v>41</v>
      </c>
      <c r="AV3" s="90" t="s">
        <v>42</v>
      </c>
      <c r="AW3" s="90" t="s">
        <v>43</v>
      </c>
      <c r="AX3" s="90" t="s">
        <v>44</v>
      </c>
      <c r="AY3" s="111" t="s">
        <v>45</v>
      </c>
    </row>
    <row r="4" s="89" customFormat="1" spans="1:51">
      <c r="A4" s="99">
        <v>1</v>
      </c>
      <c r="B4" s="100"/>
      <c r="C4" s="101"/>
      <c r="D4" s="102"/>
      <c r="E4" s="102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9">
        <f>K4-AK4</f>
        <v>0</v>
      </c>
      <c r="AK4" s="109">
        <f>(K4-M4)/(AX4-AV4)*AX4</f>
        <v>0</v>
      </c>
      <c r="AL4" s="109" t="e">
        <f t="shared" ref="AL4:AL8" si="0">(AF4-((AE4-AG4)/(AX4-AV4)*(AW4-AV4)+AG4))*100/(AE4-AG4)</f>
        <v>#DIV/0!</v>
      </c>
      <c r="AM4" s="109" t="e">
        <f t="shared" ref="AM4:AM8" si="1">(W4-AG4)/(Y4-AI4)*100/(AE4-AG4)</f>
        <v>#DIV/0!</v>
      </c>
      <c r="AN4" s="109" t="e">
        <f t="shared" ref="AN4:AN8" si="2">((U4-W4)-(AE4-AG4))/(Y4-AI4)*100/(AE4-AG4)</f>
        <v>#DIV/0!</v>
      </c>
      <c r="AO4" s="109" t="e">
        <f t="shared" ref="AO4:AO8" si="3">((P4/Q4-Z4/AA4)/(Y4-AI4))*100/(Z4/AA4)</f>
        <v>#DIV/0!</v>
      </c>
      <c r="AP4" s="109" t="e">
        <f t="shared" ref="AP4:AP8" si="4">(AG4-M4)*100/(AE4-AG4)</f>
        <v>#DIV/0!</v>
      </c>
      <c r="AQ4" s="109" t="e">
        <f t="shared" ref="AQ4:AQ8" si="5">((AE4-AG4)-(K4-M4))*100/(AE4-AG4)</f>
        <v>#DIV/0!</v>
      </c>
      <c r="AR4" s="109" t="e">
        <f t="shared" ref="AR4:AR8" si="6">(AG4-AB4)*100/(AE4-AG4)</f>
        <v>#DIV/0!</v>
      </c>
      <c r="AS4" s="109" t="e">
        <f t="shared" ref="AS4:AS8" si="7">(X4-AH4)/(Y4-AI4)</f>
        <v>#DIV/0!</v>
      </c>
      <c r="AT4" s="110"/>
      <c r="AU4" s="110"/>
      <c r="AV4" s="110">
        <v>0</v>
      </c>
      <c r="AW4" s="110">
        <f t="shared" ref="AW4:AW8" si="8">(AV4+AX4)/2</f>
        <v>0.5</v>
      </c>
      <c r="AX4" s="110">
        <v>1</v>
      </c>
      <c r="AY4" s="89" t="e">
        <f>Z4/AA4</f>
        <v>#DIV/0!</v>
      </c>
    </row>
    <row r="5" s="89" customFormat="1" spans="1:51">
      <c r="A5" s="99">
        <v>2</v>
      </c>
      <c r="B5" s="100"/>
      <c r="C5" s="104"/>
      <c r="D5" s="102"/>
      <c r="E5" s="102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9">
        <f>K5-AK5</f>
        <v>0</v>
      </c>
      <c r="AK5" s="109">
        <f>(K5-M5)/(AX5-AV5)*AX5</f>
        <v>0</v>
      </c>
      <c r="AL5" s="109" t="e">
        <f t="shared" si="0"/>
        <v>#DIV/0!</v>
      </c>
      <c r="AM5" s="109" t="e">
        <f t="shared" si="1"/>
        <v>#DIV/0!</v>
      </c>
      <c r="AN5" s="109" t="e">
        <f t="shared" si="2"/>
        <v>#DIV/0!</v>
      </c>
      <c r="AO5" s="109" t="e">
        <f t="shared" si="3"/>
        <v>#DIV/0!</v>
      </c>
      <c r="AP5" s="109" t="e">
        <f t="shared" si="4"/>
        <v>#DIV/0!</v>
      </c>
      <c r="AQ5" s="109" t="e">
        <f t="shared" si="5"/>
        <v>#DIV/0!</v>
      </c>
      <c r="AR5" s="109" t="e">
        <f t="shared" si="6"/>
        <v>#DIV/0!</v>
      </c>
      <c r="AS5" s="109" t="e">
        <f t="shared" si="7"/>
        <v>#DIV/0!</v>
      </c>
      <c r="AT5" s="110"/>
      <c r="AU5" s="110"/>
      <c r="AV5" s="110">
        <v>0</v>
      </c>
      <c r="AW5" s="110">
        <f t="shared" si="8"/>
        <v>0.5</v>
      </c>
      <c r="AX5" s="110">
        <v>1</v>
      </c>
      <c r="AY5" s="89" t="e">
        <f>Z5/AA5</f>
        <v>#DIV/0!</v>
      </c>
    </row>
    <row r="6" s="89" customFormat="1" spans="1:51">
      <c r="A6" s="99">
        <v>3</v>
      </c>
      <c r="B6" s="99"/>
      <c r="C6" s="104"/>
      <c r="D6" s="102"/>
      <c r="E6" s="102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9">
        <f>K6-AK6</f>
        <v>0</v>
      </c>
      <c r="AK6" s="109">
        <f>(K6-M6)/(AX6-AV6)*AX6</f>
        <v>0</v>
      </c>
      <c r="AL6" s="109" t="e">
        <f t="shared" si="0"/>
        <v>#DIV/0!</v>
      </c>
      <c r="AM6" s="109" t="e">
        <f t="shared" si="1"/>
        <v>#DIV/0!</v>
      </c>
      <c r="AN6" s="109" t="e">
        <f t="shared" si="2"/>
        <v>#DIV/0!</v>
      </c>
      <c r="AO6" s="109" t="e">
        <f t="shared" si="3"/>
        <v>#DIV/0!</v>
      </c>
      <c r="AP6" s="109" t="e">
        <f t="shared" si="4"/>
        <v>#DIV/0!</v>
      </c>
      <c r="AQ6" s="109" t="e">
        <f t="shared" si="5"/>
        <v>#DIV/0!</v>
      </c>
      <c r="AR6" s="109" t="e">
        <f t="shared" si="6"/>
        <v>#DIV/0!</v>
      </c>
      <c r="AS6" s="109" t="e">
        <f t="shared" si="7"/>
        <v>#DIV/0!</v>
      </c>
      <c r="AT6" s="110"/>
      <c r="AU6" s="110"/>
      <c r="AV6" s="110">
        <v>0</v>
      </c>
      <c r="AW6" s="110">
        <f t="shared" si="8"/>
        <v>0.5</v>
      </c>
      <c r="AX6" s="110">
        <v>1</v>
      </c>
      <c r="AY6" s="89" t="e">
        <f>Z6/AA6</f>
        <v>#DIV/0!</v>
      </c>
    </row>
    <row r="7" s="89" customFormat="1" spans="1:51">
      <c r="A7" s="99">
        <v>4</v>
      </c>
      <c r="B7" s="100"/>
      <c r="C7" s="104"/>
      <c r="D7" s="102"/>
      <c r="E7" s="102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9">
        <f>K7-AK7</f>
        <v>0</v>
      </c>
      <c r="AK7" s="109">
        <f>(K7-M7)/(AX7-AV7)*AX7</f>
        <v>0</v>
      </c>
      <c r="AL7" s="109" t="e">
        <f t="shared" si="0"/>
        <v>#DIV/0!</v>
      </c>
      <c r="AM7" s="109" t="e">
        <f t="shared" si="1"/>
        <v>#DIV/0!</v>
      </c>
      <c r="AN7" s="109" t="e">
        <f t="shared" si="2"/>
        <v>#DIV/0!</v>
      </c>
      <c r="AO7" s="109" t="e">
        <f t="shared" si="3"/>
        <v>#DIV/0!</v>
      </c>
      <c r="AP7" s="109" t="e">
        <f t="shared" si="4"/>
        <v>#DIV/0!</v>
      </c>
      <c r="AQ7" s="109" t="e">
        <f t="shared" si="5"/>
        <v>#DIV/0!</v>
      </c>
      <c r="AR7" s="109" t="e">
        <f t="shared" si="6"/>
        <v>#DIV/0!</v>
      </c>
      <c r="AS7" s="109" t="e">
        <f t="shared" si="7"/>
        <v>#DIV/0!</v>
      </c>
      <c r="AT7" s="110"/>
      <c r="AU7" s="110"/>
      <c r="AV7" s="110">
        <v>0</v>
      </c>
      <c r="AW7" s="110">
        <f t="shared" si="8"/>
        <v>0.5</v>
      </c>
      <c r="AX7" s="110">
        <v>1</v>
      </c>
      <c r="AY7" s="89" t="e">
        <f>Z7/AA7</f>
        <v>#DIV/0!</v>
      </c>
    </row>
    <row r="8" s="89" customFormat="1" spans="1:51">
      <c r="A8" s="99">
        <v>5</v>
      </c>
      <c r="B8" s="100"/>
      <c r="C8" s="105"/>
      <c r="D8" s="102"/>
      <c r="E8" s="102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9">
        <f>K8-AK8</f>
        <v>0</v>
      </c>
      <c r="AK8" s="109">
        <f>(K8-M8)/(AX8-AV8)*AX8</f>
        <v>0</v>
      </c>
      <c r="AL8" s="109" t="e">
        <f t="shared" si="0"/>
        <v>#DIV/0!</v>
      </c>
      <c r="AM8" s="109" t="e">
        <f t="shared" si="1"/>
        <v>#DIV/0!</v>
      </c>
      <c r="AN8" s="109" t="e">
        <f t="shared" si="2"/>
        <v>#DIV/0!</v>
      </c>
      <c r="AO8" s="109" t="e">
        <f t="shared" si="3"/>
        <v>#DIV/0!</v>
      </c>
      <c r="AP8" s="109" t="e">
        <f t="shared" si="4"/>
        <v>#DIV/0!</v>
      </c>
      <c r="AQ8" s="109" t="e">
        <f t="shared" si="5"/>
        <v>#DIV/0!</v>
      </c>
      <c r="AR8" s="109" t="e">
        <f t="shared" si="6"/>
        <v>#DIV/0!</v>
      </c>
      <c r="AS8" s="109" t="e">
        <f t="shared" si="7"/>
        <v>#DIV/0!</v>
      </c>
      <c r="AT8" s="110"/>
      <c r="AU8" s="110"/>
      <c r="AV8" s="110">
        <v>0</v>
      </c>
      <c r="AW8" s="110">
        <f t="shared" si="8"/>
        <v>0.5</v>
      </c>
      <c r="AX8" s="110">
        <v>1</v>
      </c>
      <c r="AY8" s="89" t="e">
        <f>Z8/AA8</f>
        <v>#DIV/0!</v>
      </c>
    </row>
  </sheetData>
  <mergeCells count="15">
    <mergeCell ref="F1:O1"/>
    <mergeCell ref="P1:Y1"/>
    <mergeCell ref="Z1:AI1"/>
    <mergeCell ref="F2:I2"/>
    <mergeCell ref="M2:O2"/>
    <mergeCell ref="P2:S2"/>
    <mergeCell ref="W2:Y2"/>
    <mergeCell ref="Z2:AC2"/>
    <mergeCell ref="AG2:AI2"/>
    <mergeCell ref="A1:A3"/>
    <mergeCell ref="B1:B3"/>
    <mergeCell ref="C1:C3"/>
    <mergeCell ref="C4:C8"/>
    <mergeCell ref="D1:D3"/>
    <mergeCell ref="E1:E3"/>
  </mergeCells>
  <conditionalFormatting sqref="AJ3">
    <cfRule type="cellIs" dxfId="0" priority="34" operator="notBetween">
      <formula>-25</formula>
      <formula>25</formula>
    </cfRule>
  </conditionalFormatting>
  <conditionalFormatting sqref="AK3">
    <cfRule type="cellIs" dxfId="0" priority="33" operator="notBetween">
      <formula>60</formula>
      <formula>140</formula>
    </cfRule>
  </conditionalFormatting>
  <conditionalFormatting sqref="AM3">
    <cfRule type="cellIs" dxfId="0" priority="31" operator="notBetween">
      <formula>-0.05</formula>
      <formula>0.05</formula>
    </cfRule>
  </conditionalFormatting>
  <conditionalFormatting sqref="AN3">
    <cfRule type="cellIs" dxfId="0" priority="30" operator="notBetween">
      <formula>-0.21</formula>
      <formula>0.17</formula>
    </cfRule>
  </conditionalFormatting>
  <conditionalFormatting sqref="AO3">
    <cfRule type="cellIs" dxfId="0" priority="29" operator="notBetween">
      <formula>0.07</formula>
      <formula>0.11</formula>
    </cfRule>
  </conditionalFormatting>
  <conditionalFormatting sqref="AP3:AR3">
    <cfRule type="cellIs" dxfId="0" priority="28" operator="notBetween">
      <formula>-0.3</formula>
      <formula>0.3</formula>
    </cfRule>
  </conditionalFormatting>
  <conditionalFormatting sqref="AS3">
    <cfRule type="cellIs" dxfId="0" priority="25" operator="notBetween">
      <formula>0.145</formula>
      <formula>0.159</formula>
    </cfRule>
  </conditionalFormatting>
  <conditionalFormatting sqref="AJ4:AJ8">
    <cfRule type="cellIs" dxfId="0" priority="12" operator="notBetween">
      <formula>-25</formula>
      <formula>25</formula>
    </cfRule>
  </conditionalFormatting>
  <conditionalFormatting sqref="AK4:AK8">
    <cfRule type="cellIs" dxfId="0" priority="11" operator="notBetween">
      <formula>60</formula>
      <formula>140</formula>
    </cfRule>
  </conditionalFormatting>
  <conditionalFormatting sqref="AL4:AL8">
    <cfRule type="cellIs" dxfId="0" priority="10" operator="notBetween">
      <formula>-0.2</formula>
      <formula>0.2</formula>
    </cfRule>
  </conditionalFormatting>
  <conditionalFormatting sqref="AM4:AM8">
    <cfRule type="cellIs" dxfId="0" priority="9" operator="notBetween">
      <formula>-0.05</formula>
      <formula>0.05</formula>
    </cfRule>
  </conditionalFormatting>
  <conditionalFormatting sqref="AN4:AN8">
    <cfRule type="cellIs" dxfId="0" priority="8" operator="notBetween">
      <formula>-0.21</formula>
      <formula>0.17</formula>
    </cfRule>
  </conditionalFormatting>
  <conditionalFormatting sqref="AO4:AO8">
    <cfRule type="cellIs" dxfId="0" priority="7" operator="notBetween">
      <formula>0.07</formula>
      <formula>0.11</formula>
    </cfRule>
  </conditionalFormatting>
  <conditionalFormatting sqref="AP4:AP8">
    <cfRule type="cellIs" dxfId="0" priority="6" operator="notBetween">
      <formula>-0.3</formula>
      <formula>0.3</formula>
    </cfRule>
  </conditionalFormatting>
  <conditionalFormatting sqref="AQ4:AQ8">
    <cfRule type="cellIs" dxfId="0" priority="5" operator="notBetween">
      <formula>-0.3</formula>
      <formula>0.3</formula>
    </cfRule>
  </conditionalFormatting>
  <conditionalFormatting sqref="AR4:AR8">
    <cfRule type="cellIs" dxfId="0" priority="4" operator="notBetween">
      <formula>-0.3</formula>
      <formula>0.3</formula>
    </cfRule>
  </conditionalFormatting>
  <conditionalFormatting sqref="AS4:AS8">
    <cfRule type="cellIs" dxfId="0" priority="3" operator="notBetween">
      <formula>0.145</formula>
      <formula>0.159</formula>
    </cfRule>
  </conditionalFormatting>
  <conditionalFormatting sqref="N$1:AI$1048576 D$1:J$1048576 K1:M16 K18:M1048576">
    <cfRule type="containsErrors" dxfId="1" priority="1">
      <formula>ISERROR(D1)</formula>
    </cfRule>
  </conditionalFormatting>
  <conditionalFormatting sqref="AJ4:AS8">
    <cfRule type="containsErrors" dxfId="1" priority="2">
      <formula>ISERROR(AJ4)</formula>
    </cfRule>
  </conditionalFormatting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view="pageBreakPreview" zoomScale="130" zoomScaleNormal="115" workbookViewId="0">
      <selection activeCell="H12" sqref="H12"/>
    </sheetView>
  </sheetViews>
  <sheetFormatPr defaultColWidth="9" defaultRowHeight="14.25" outlineLevelCol="5"/>
  <cols>
    <col min="1" max="1" width="7.59166666666667" style="49" customWidth="1"/>
    <col min="2" max="2" width="7.85833333333333" style="50" customWidth="1"/>
    <col min="3" max="3" width="7.68333333333333" style="50" customWidth="1"/>
    <col min="4" max="4" width="9.1" style="50" customWidth="1"/>
    <col min="5" max="5" width="20.0833333333333" style="49" customWidth="1"/>
    <col min="6" max="6" width="9.48333333333333" style="49" customWidth="1"/>
    <col min="7" max="7" width="9.75" style="49" customWidth="1"/>
    <col min="8" max="16384" width="8.66666666666667" style="49"/>
  </cols>
  <sheetData>
    <row r="1" s="49" customFormat="1" ht="70" customHeight="1" spans="1:6">
      <c r="A1" s="51"/>
      <c r="B1" s="52" t="s">
        <v>46</v>
      </c>
      <c r="C1" s="52"/>
      <c r="D1" s="53"/>
      <c r="E1" s="54"/>
      <c r="F1" s="55" t="s">
        <v>47</v>
      </c>
    </row>
    <row r="2" s="49" customFormat="1" spans="1:6">
      <c r="A2" s="56"/>
      <c r="B2" s="57"/>
      <c r="C2" s="57"/>
      <c r="D2" s="57"/>
      <c r="E2" s="57"/>
      <c r="F2" s="58"/>
    </row>
    <row r="3" s="49" customFormat="1" ht="25" customHeight="1" spans="1:6">
      <c r="A3" s="59" t="s">
        <v>48</v>
      </c>
      <c r="B3" s="60"/>
      <c r="C3" s="61"/>
      <c r="D3" s="62" t="s">
        <v>49</v>
      </c>
      <c r="E3" s="62"/>
      <c r="F3" s="63" t="s">
        <v>41</v>
      </c>
    </row>
    <row r="4" s="49" customFormat="1" ht="25" customHeight="1" spans="1:6">
      <c r="A4" s="64" t="s">
        <v>50</v>
      </c>
      <c r="B4" s="65" t="s">
        <v>51</v>
      </c>
      <c r="C4" s="65"/>
      <c r="D4" s="65"/>
      <c r="E4" s="66" t="s">
        <v>52</v>
      </c>
      <c r="F4" s="67"/>
    </row>
    <row r="5" s="49" customFormat="1" ht="61.5" customHeight="1" spans="1:6">
      <c r="A5" s="68" t="s">
        <v>53</v>
      </c>
      <c r="B5" s="69" t="s">
        <v>54</v>
      </c>
      <c r="C5" s="70"/>
      <c r="D5" s="71"/>
      <c r="E5" s="72"/>
      <c r="F5" s="73"/>
    </row>
    <row r="6" s="49" customFormat="1" ht="40.5" customHeight="1" spans="1:6">
      <c r="A6" s="68" t="s">
        <v>55</v>
      </c>
      <c r="B6" s="60" t="s">
        <v>56</v>
      </c>
      <c r="C6" s="61"/>
      <c r="D6" s="74" t="s">
        <v>57</v>
      </c>
      <c r="E6" s="62" t="s">
        <v>58</v>
      </c>
      <c r="F6" s="75"/>
    </row>
    <row r="7" s="49" customFormat="1" ht="28.5" customHeight="1" spans="1:6">
      <c r="A7" s="59" t="s">
        <v>59</v>
      </c>
      <c r="B7" s="74" t="s">
        <v>60</v>
      </c>
      <c r="C7" s="74" t="s">
        <v>61</v>
      </c>
      <c r="D7" s="76" t="s">
        <v>62</v>
      </c>
      <c r="E7" s="77"/>
      <c r="F7" s="78"/>
    </row>
    <row r="8" s="49" customFormat="1" ht="20" customHeight="1" spans="1:6">
      <c r="A8" s="79"/>
      <c r="B8" s="80"/>
      <c r="C8" s="80"/>
      <c r="D8" s="81" t="s">
        <v>63</v>
      </c>
      <c r="E8" s="82"/>
      <c r="F8" s="83"/>
    </row>
    <row r="9" s="49" customFormat="1" ht="20" customHeight="1" spans="1:6">
      <c r="A9" s="84"/>
      <c r="B9" s="80"/>
      <c r="C9" s="80"/>
      <c r="D9" s="81" t="s">
        <v>63</v>
      </c>
      <c r="E9" s="82"/>
      <c r="F9" s="83"/>
    </row>
    <row r="10" s="49" customFormat="1" ht="20" customHeight="1" spans="1:6">
      <c r="A10" s="84"/>
      <c r="B10" s="80"/>
      <c r="C10" s="80"/>
      <c r="D10" s="81" t="s">
        <v>63</v>
      </c>
      <c r="E10" s="82"/>
      <c r="F10" s="83"/>
    </row>
    <row r="11" s="49" customFormat="1" ht="20" customHeight="1" spans="1:6">
      <c r="A11" s="84"/>
      <c r="B11" s="80"/>
      <c r="C11" s="80"/>
      <c r="D11" s="81" t="s">
        <v>63</v>
      </c>
      <c r="E11" s="82"/>
      <c r="F11" s="83"/>
    </row>
    <row r="12" s="49" customFormat="1" ht="20" customHeight="1" spans="1:6">
      <c r="A12" s="84"/>
      <c r="B12" s="80"/>
      <c r="C12" s="80"/>
      <c r="D12" s="81" t="s">
        <v>63</v>
      </c>
      <c r="E12" s="82"/>
      <c r="F12" s="85"/>
    </row>
    <row r="13" s="49" customFormat="1" ht="86.5" customHeight="1" spans="1:6">
      <c r="A13" s="86" t="s">
        <v>64</v>
      </c>
      <c r="B13" s="87"/>
      <c r="C13" s="87"/>
      <c r="D13" s="87"/>
      <c r="E13" s="87"/>
      <c r="F13" s="88"/>
    </row>
  </sheetData>
  <mergeCells count="14">
    <mergeCell ref="B1:E1"/>
    <mergeCell ref="A2:F2"/>
    <mergeCell ref="B3:C3"/>
    <mergeCell ref="B4:D4"/>
    <mergeCell ref="B5:E5"/>
    <mergeCell ref="B6:C6"/>
    <mergeCell ref="D7:E7"/>
    <mergeCell ref="D8:E8"/>
    <mergeCell ref="D9:E9"/>
    <mergeCell ref="D10:E10"/>
    <mergeCell ref="D11:E11"/>
    <mergeCell ref="D12:E12"/>
    <mergeCell ref="A13:E13"/>
    <mergeCell ref="F7:F12"/>
  </mergeCells>
  <pageMargins left="0.433070866141732" right="0.393700787401575" top="0.62992125984252" bottom="0.393700787401575" header="0.31496062992126" footer="0.31496062992126"/>
  <pageSetup paperSize="1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zoomScale="55" zoomScaleNormal="55" workbookViewId="0">
      <selection activeCell="P34" sqref="P34"/>
    </sheetView>
  </sheetViews>
  <sheetFormatPr defaultColWidth="9" defaultRowHeight="14.25"/>
  <cols>
    <col min="1" max="1" width="26.5833333333333" style="1" customWidth="1"/>
    <col min="2" max="2" width="10.5833333333333" style="2" customWidth="1"/>
    <col min="3" max="4" width="15.5833333333333" style="3" customWidth="1"/>
    <col min="5" max="5" width="8.66666666666667" style="1"/>
    <col min="6" max="6" width="26.5833333333333" style="3" customWidth="1"/>
    <col min="7" max="7" width="10.5833333333333" style="3" customWidth="1"/>
    <col min="8" max="9" width="15.5833333333333" style="3" customWidth="1"/>
    <col min="10" max="10" width="8.66666666666667" style="1"/>
    <col min="11" max="11" width="26.5833333333333" style="1" customWidth="1"/>
    <col min="12" max="12" width="10.5833333333333" style="1" customWidth="1"/>
    <col min="13" max="14" width="15.5833333333333" style="1" customWidth="1"/>
    <col min="15" max="16384" width="8.66666666666667" style="1"/>
  </cols>
  <sheetData>
    <row r="1" ht="46.5" customHeight="1" spans="1:14">
      <c r="A1" s="4" t="s">
        <v>65</v>
      </c>
      <c r="B1" s="5"/>
      <c r="C1" s="5"/>
      <c r="D1" s="6"/>
      <c r="F1" s="7" t="s">
        <v>66</v>
      </c>
      <c r="G1" s="8"/>
      <c r="H1" s="8"/>
      <c r="I1" s="36"/>
      <c r="K1" s="7" t="s">
        <v>67</v>
      </c>
      <c r="L1" s="8"/>
      <c r="M1" s="8"/>
      <c r="N1" s="36"/>
    </row>
    <row r="2" ht="30.5" customHeight="1" spans="1:14">
      <c r="A2" s="9" t="s">
        <v>49</v>
      </c>
      <c r="B2" s="10" t="s">
        <v>68</v>
      </c>
      <c r="C2" s="11" t="s">
        <v>69</v>
      </c>
      <c r="D2" s="12" t="s">
        <v>70</v>
      </c>
      <c r="F2" s="9" t="s">
        <v>49</v>
      </c>
      <c r="G2" s="10" t="s">
        <v>71</v>
      </c>
      <c r="H2" s="11" t="s">
        <v>69</v>
      </c>
      <c r="I2" s="12" t="s">
        <v>70</v>
      </c>
      <c r="K2" s="9" t="s">
        <v>49</v>
      </c>
      <c r="L2" s="10" t="s">
        <v>71</v>
      </c>
      <c r="M2" s="11" t="s">
        <v>69</v>
      </c>
      <c r="N2" s="12" t="s">
        <v>70</v>
      </c>
    </row>
    <row r="3" ht="20" customHeight="1" spans="1:14">
      <c r="A3" s="9" t="s">
        <v>72</v>
      </c>
      <c r="B3" s="10" t="s">
        <v>73</v>
      </c>
      <c r="C3" s="13" t="s">
        <v>74</v>
      </c>
      <c r="D3" s="14" t="s">
        <v>75</v>
      </c>
      <c r="F3" s="15" t="s">
        <v>76</v>
      </c>
      <c r="G3" s="16" t="s">
        <v>77</v>
      </c>
      <c r="H3" s="17" t="s">
        <v>78</v>
      </c>
      <c r="I3" s="37" t="s">
        <v>78</v>
      </c>
      <c r="K3" s="9" t="s">
        <v>79</v>
      </c>
      <c r="L3" s="10" t="s">
        <v>80</v>
      </c>
      <c r="M3" s="13" t="s">
        <v>81</v>
      </c>
      <c r="N3" s="14" t="s">
        <v>78</v>
      </c>
    </row>
    <row r="4" ht="20" customHeight="1" spans="1:14">
      <c r="A4" s="9" t="s">
        <v>82</v>
      </c>
      <c r="B4" s="10" t="s">
        <v>83</v>
      </c>
      <c r="C4" s="18" t="s">
        <v>84</v>
      </c>
      <c r="D4" s="19" t="s">
        <v>85</v>
      </c>
      <c r="F4" s="15" t="s">
        <v>86</v>
      </c>
      <c r="G4" s="16" t="s">
        <v>87</v>
      </c>
      <c r="H4" s="20" t="s">
        <v>88</v>
      </c>
      <c r="I4" s="38" t="s">
        <v>88</v>
      </c>
      <c r="K4" s="9" t="s">
        <v>89</v>
      </c>
      <c r="L4" s="10" t="s">
        <v>77</v>
      </c>
      <c r="M4" s="18" t="s">
        <v>75</v>
      </c>
      <c r="N4" s="19" t="s">
        <v>81</v>
      </c>
    </row>
    <row r="5" ht="20" customHeight="1" spans="1:14">
      <c r="A5" s="9" t="s">
        <v>90</v>
      </c>
      <c r="B5" s="10" t="s">
        <v>91</v>
      </c>
      <c r="C5" s="18" t="s">
        <v>92</v>
      </c>
      <c r="D5" s="19" t="s">
        <v>93</v>
      </c>
      <c r="F5" s="21" t="s">
        <v>94</v>
      </c>
      <c r="G5" s="16" t="s">
        <v>95</v>
      </c>
      <c r="H5" s="16" t="s">
        <v>96</v>
      </c>
      <c r="I5" s="39" t="s">
        <v>97</v>
      </c>
      <c r="K5" s="9" t="s">
        <v>98</v>
      </c>
      <c r="L5" s="10" t="s">
        <v>99</v>
      </c>
      <c r="M5" s="18" t="s">
        <v>74</v>
      </c>
      <c r="N5" s="19" t="s">
        <v>97</v>
      </c>
    </row>
    <row r="6" ht="20" customHeight="1" spans="1:14">
      <c r="A6" s="9" t="s">
        <v>100</v>
      </c>
      <c r="B6" s="10" t="s">
        <v>101</v>
      </c>
      <c r="C6" s="18" t="s">
        <v>102</v>
      </c>
      <c r="D6" s="19" t="s">
        <v>103</v>
      </c>
      <c r="F6" s="15" t="s">
        <v>104</v>
      </c>
      <c r="G6" s="16" t="s">
        <v>95</v>
      </c>
      <c r="H6" s="20" t="s">
        <v>96</v>
      </c>
      <c r="I6" s="38" t="s">
        <v>96</v>
      </c>
      <c r="K6" s="9" t="s">
        <v>105</v>
      </c>
      <c r="L6" s="10" t="s">
        <v>99</v>
      </c>
      <c r="M6" s="18" t="s">
        <v>74</v>
      </c>
      <c r="N6" s="19" t="s">
        <v>75</v>
      </c>
    </row>
    <row r="7" ht="20" customHeight="1" spans="1:14">
      <c r="A7" s="22" t="s">
        <v>106</v>
      </c>
      <c r="B7" s="23" t="s">
        <v>107</v>
      </c>
      <c r="C7" s="18" t="s">
        <v>108</v>
      </c>
      <c r="D7" s="19" t="s">
        <v>109</v>
      </c>
      <c r="F7" s="15" t="s">
        <v>110</v>
      </c>
      <c r="G7" s="16" t="s">
        <v>111</v>
      </c>
      <c r="H7" s="20" t="s">
        <v>85</v>
      </c>
      <c r="I7" s="38" t="s">
        <v>97</v>
      </c>
      <c r="K7" s="9" t="s">
        <v>112</v>
      </c>
      <c r="L7" s="23" t="s">
        <v>111</v>
      </c>
      <c r="M7" s="18" t="s">
        <v>84</v>
      </c>
      <c r="N7" s="19" t="s">
        <v>97</v>
      </c>
    </row>
    <row r="8" ht="20" customHeight="1" spans="1:14">
      <c r="A8" s="22" t="s">
        <v>113</v>
      </c>
      <c r="B8" s="23" t="s">
        <v>114</v>
      </c>
      <c r="C8" s="18" t="s">
        <v>75</v>
      </c>
      <c r="D8" s="19" t="s">
        <v>81</v>
      </c>
      <c r="F8" s="21" t="s">
        <v>115</v>
      </c>
      <c r="G8" s="16" t="s">
        <v>111</v>
      </c>
      <c r="H8" s="20" t="s">
        <v>85</v>
      </c>
      <c r="I8" s="38" t="s">
        <v>85</v>
      </c>
      <c r="K8" s="22" t="s">
        <v>116</v>
      </c>
      <c r="L8" s="23" t="s">
        <v>111</v>
      </c>
      <c r="M8" s="18" t="s">
        <v>84</v>
      </c>
      <c r="N8" s="19" t="s">
        <v>85</v>
      </c>
    </row>
    <row r="9" ht="20" customHeight="1" spans="1:14">
      <c r="A9" s="24" t="s">
        <v>117</v>
      </c>
      <c r="B9" s="23" t="s">
        <v>118</v>
      </c>
      <c r="C9" s="18" t="s">
        <v>74</v>
      </c>
      <c r="D9" s="19" t="s">
        <v>75</v>
      </c>
      <c r="F9" s="25" t="s">
        <v>119</v>
      </c>
      <c r="G9" s="16" t="s">
        <v>120</v>
      </c>
      <c r="H9" s="20" t="s">
        <v>121</v>
      </c>
      <c r="I9" s="38" t="s">
        <v>97</v>
      </c>
      <c r="K9" s="24" t="s">
        <v>122</v>
      </c>
      <c r="L9" s="23" t="s">
        <v>120</v>
      </c>
      <c r="M9" s="18" t="s">
        <v>121</v>
      </c>
      <c r="N9" s="19" t="s">
        <v>97</v>
      </c>
    </row>
    <row r="10" ht="20" customHeight="1" spans="1:14">
      <c r="A10" s="24" t="s">
        <v>123</v>
      </c>
      <c r="B10" s="23" t="s">
        <v>124</v>
      </c>
      <c r="C10" s="18" t="s">
        <v>125</v>
      </c>
      <c r="D10" s="19" t="s">
        <v>126</v>
      </c>
      <c r="F10" s="25" t="s">
        <v>127</v>
      </c>
      <c r="G10" s="16" t="s">
        <v>120</v>
      </c>
      <c r="H10" s="20" t="s">
        <v>121</v>
      </c>
      <c r="I10" s="38" t="s">
        <v>84</v>
      </c>
      <c r="K10" s="24" t="s">
        <v>128</v>
      </c>
      <c r="L10" s="23" t="s">
        <v>120</v>
      </c>
      <c r="M10" s="18" t="s">
        <v>121</v>
      </c>
      <c r="N10" s="19" t="s">
        <v>84</v>
      </c>
    </row>
    <row r="11" ht="20" customHeight="1" spans="1:14">
      <c r="A11" s="22" t="s">
        <v>129</v>
      </c>
      <c r="B11" s="23" t="s">
        <v>130</v>
      </c>
      <c r="C11" s="18" t="s">
        <v>131</v>
      </c>
      <c r="D11" s="19" t="s">
        <v>93</v>
      </c>
      <c r="F11" s="21" t="s">
        <v>132</v>
      </c>
      <c r="G11" s="16" t="s">
        <v>133</v>
      </c>
      <c r="H11" s="20" t="s">
        <v>134</v>
      </c>
      <c r="I11" s="38" t="s">
        <v>97</v>
      </c>
      <c r="K11" s="22" t="s">
        <v>135</v>
      </c>
      <c r="L11" s="23" t="s">
        <v>133</v>
      </c>
      <c r="M11" s="18" t="s">
        <v>136</v>
      </c>
      <c r="N11" s="19" t="s">
        <v>97</v>
      </c>
    </row>
    <row r="12" ht="20" customHeight="1" spans="1:14">
      <c r="A12" s="24" t="s">
        <v>137</v>
      </c>
      <c r="B12" s="23" t="s">
        <v>138</v>
      </c>
      <c r="C12" s="18" t="s">
        <v>139</v>
      </c>
      <c r="D12" s="19" t="s">
        <v>140</v>
      </c>
      <c r="F12" s="25" t="s">
        <v>141</v>
      </c>
      <c r="G12" s="16" t="s">
        <v>133</v>
      </c>
      <c r="H12" s="20" t="s">
        <v>134</v>
      </c>
      <c r="I12" s="38" t="s">
        <v>140</v>
      </c>
      <c r="K12" s="24" t="s">
        <v>142</v>
      </c>
      <c r="L12" s="23" t="s">
        <v>133</v>
      </c>
      <c r="M12" s="18" t="s">
        <v>136</v>
      </c>
      <c r="N12" s="19" t="s">
        <v>140</v>
      </c>
    </row>
    <row r="13" ht="20" customHeight="1" spans="1:14">
      <c r="A13" s="24" t="s">
        <v>143</v>
      </c>
      <c r="B13" s="23" t="s">
        <v>144</v>
      </c>
      <c r="C13" s="18" t="s">
        <v>108</v>
      </c>
      <c r="D13" s="26" t="s">
        <v>145</v>
      </c>
      <c r="F13" s="25" t="s">
        <v>146</v>
      </c>
      <c r="G13" s="16" t="s">
        <v>147</v>
      </c>
      <c r="H13" s="20" t="s">
        <v>148</v>
      </c>
      <c r="I13" s="40" t="s">
        <v>97</v>
      </c>
      <c r="K13" s="24" t="s">
        <v>149</v>
      </c>
      <c r="L13" s="23" t="s">
        <v>150</v>
      </c>
      <c r="M13" s="18" t="s">
        <v>151</v>
      </c>
      <c r="N13" s="19" t="s">
        <v>97</v>
      </c>
    </row>
    <row r="14" ht="20" customHeight="1" spans="1:14">
      <c r="A14" s="24" t="s">
        <v>152</v>
      </c>
      <c r="B14" s="23" t="s">
        <v>153</v>
      </c>
      <c r="C14" s="18" t="s">
        <v>85</v>
      </c>
      <c r="D14" s="26" t="s">
        <v>145</v>
      </c>
      <c r="F14" s="25" t="s">
        <v>154</v>
      </c>
      <c r="G14" s="16" t="s">
        <v>147</v>
      </c>
      <c r="H14" s="20" t="s">
        <v>148</v>
      </c>
      <c r="I14" s="40" t="s">
        <v>155</v>
      </c>
      <c r="K14" s="24" t="s">
        <v>156</v>
      </c>
      <c r="L14" s="23" t="s">
        <v>150</v>
      </c>
      <c r="M14" s="18" t="s">
        <v>151</v>
      </c>
      <c r="N14" s="26" t="s">
        <v>136</v>
      </c>
    </row>
    <row r="15" ht="20" customHeight="1" spans="1:14">
      <c r="A15" s="24" t="s">
        <v>157</v>
      </c>
      <c r="B15" s="23" t="s">
        <v>158</v>
      </c>
      <c r="C15" s="18" t="s">
        <v>159</v>
      </c>
      <c r="D15" s="26" t="s">
        <v>145</v>
      </c>
      <c r="F15" s="25" t="s">
        <v>160</v>
      </c>
      <c r="G15" s="16" t="s">
        <v>161</v>
      </c>
      <c r="H15" s="20" t="s">
        <v>162</v>
      </c>
      <c r="I15" s="40" t="s">
        <v>97</v>
      </c>
      <c r="K15" s="24" t="s">
        <v>163</v>
      </c>
      <c r="L15" s="23" t="s">
        <v>164</v>
      </c>
      <c r="M15" s="18" t="s">
        <v>165</v>
      </c>
      <c r="N15" s="19" t="s">
        <v>97</v>
      </c>
    </row>
    <row r="16" ht="20" customHeight="1" spans="1:14">
      <c r="A16" s="24" t="s">
        <v>166</v>
      </c>
      <c r="B16" s="23" t="s">
        <v>167</v>
      </c>
      <c r="C16" s="18" t="s">
        <v>168</v>
      </c>
      <c r="D16" s="26" t="s">
        <v>145</v>
      </c>
      <c r="F16" s="25" t="s">
        <v>169</v>
      </c>
      <c r="G16" s="16" t="s">
        <v>161</v>
      </c>
      <c r="H16" s="20" t="s">
        <v>162</v>
      </c>
      <c r="I16" s="40" t="s">
        <v>103</v>
      </c>
      <c r="K16" s="27" t="s">
        <v>170</v>
      </c>
      <c r="L16" s="28" t="s">
        <v>171</v>
      </c>
      <c r="M16" s="29" t="s">
        <v>172</v>
      </c>
      <c r="N16" s="41" t="s">
        <v>97</v>
      </c>
    </row>
    <row r="17" ht="20" customHeight="1" spans="1:14">
      <c r="A17" s="27" t="s">
        <v>173</v>
      </c>
      <c r="B17" s="28" t="s">
        <v>174</v>
      </c>
      <c r="C17" s="29" t="s">
        <v>172</v>
      </c>
      <c r="D17" s="30" t="s">
        <v>145</v>
      </c>
      <c r="F17" s="25" t="s">
        <v>175</v>
      </c>
      <c r="G17" s="16" t="s">
        <v>150</v>
      </c>
      <c r="H17" s="20" t="s">
        <v>151</v>
      </c>
      <c r="I17" s="40" t="s">
        <v>97</v>
      </c>
      <c r="K17" s="42"/>
      <c r="L17" s="43"/>
      <c r="M17" s="44"/>
      <c r="N17" s="45"/>
    </row>
    <row r="18" ht="20" customHeight="1" spans="6:14">
      <c r="F18" s="25" t="s">
        <v>176</v>
      </c>
      <c r="G18" s="16" t="s">
        <v>150</v>
      </c>
      <c r="H18" s="20" t="s">
        <v>151</v>
      </c>
      <c r="I18" s="40" t="s">
        <v>103</v>
      </c>
      <c r="K18" s="46"/>
      <c r="L18" s="46"/>
      <c r="M18" s="46"/>
      <c r="N18" s="46"/>
    </row>
    <row r="19" ht="20" customHeight="1" spans="1:14">
      <c r="A19" s="31"/>
      <c r="B19" s="32"/>
      <c r="C19" s="32"/>
      <c r="D19" s="32"/>
      <c r="F19" s="25" t="s">
        <v>177</v>
      </c>
      <c r="G19" s="16" t="s">
        <v>164</v>
      </c>
      <c r="H19" s="20" t="s">
        <v>165</v>
      </c>
      <c r="I19" s="40" t="s">
        <v>97</v>
      </c>
      <c r="K19" s="46"/>
      <c r="L19" s="46"/>
      <c r="M19" s="46"/>
      <c r="N19" s="46"/>
    </row>
    <row r="20" ht="20" customHeight="1" spans="1:9">
      <c r="A20" s="32"/>
      <c r="B20" s="32"/>
      <c r="C20" s="32"/>
      <c r="D20" s="32"/>
      <c r="F20" s="25" t="s">
        <v>178</v>
      </c>
      <c r="G20" s="16" t="s">
        <v>164</v>
      </c>
      <c r="H20" s="20" t="s">
        <v>165</v>
      </c>
      <c r="I20" s="40" t="s">
        <v>103</v>
      </c>
    </row>
    <row r="21" ht="20" customHeight="1" spans="1:14">
      <c r="A21" s="32"/>
      <c r="B21" s="32"/>
      <c r="C21" s="32"/>
      <c r="D21" s="32"/>
      <c r="F21" s="25" t="s">
        <v>179</v>
      </c>
      <c r="G21" s="16" t="s">
        <v>180</v>
      </c>
      <c r="H21" s="20" t="s">
        <v>181</v>
      </c>
      <c r="I21" s="40" t="s">
        <v>97</v>
      </c>
      <c r="N21" s="47" t="s">
        <v>182</v>
      </c>
    </row>
    <row r="22" ht="20" customHeight="1" spans="1:9">
      <c r="A22" s="32"/>
      <c r="B22" s="32"/>
      <c r="C22" s="32"/>
      <c r="D22" s="32"/>
      <c r="F22" s="25" t="s">
        <v>183</v>
      </c>
      <c r="G22" s="16" t="s">
        <v>180</v>
      </c>
      <c r="H22" s="20" t="s">
        <v>181</v>
      </c>
      <c r="I22" s="40" t="s">
        <v>103</v>
      </c>
    </row>
    <row r="23" ht="20" customHeight="1" spans="1:9">
      <c r="A23" s="32"/>
      <c r="B23" s="32"/>
      <c r="C23" s="32"/>
      <c r="D23" s="32"/>
      <c r="F23" s="33" t="s">
        <v>184</v>
      </c>
      <c r="G23" s="34" t="s">
        <v>171</v>
      </c>
      <c r="H23" s="35" t="s">
        <v>172</v>
      </c>
      <c r="I23" s="48" t="s">
        <v>97</v>
      </c>
    </row>
  </sheetData>
  <mergeCells count="3">
    <mergeCell ref="A1:D1"/>
    <mergeCell ref="F1:I1"/>
    <mergeCell ref="K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爆破压力测试报告Burst pressure test</vt:lpstr>
      <vt:lpstr>拉力测试Pull test </vt:lpstr>
      <vt:lpstr>新晶圆性能测Wafer performance test</vt:lpstr>
      <vt:lpstr>过载测试Overload test</vt:lpstr>
      <vt:lpstr>芯片过载以及爆破性能指标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魏壮壮</dc:creator>
  <cp:lastModifiedBy>123</cp:lastModifiedBy>
  <dcterms:created xsi:type="dcterms:W3CDTF">2015-06-05T18:19:00Z</dcterms:created>
  <cp:lastPrinted>2022-05-23T05:16:00Z</cp:lastPrinted>
  <dcterms:modified xsi:type="dcterms:W3CDTF">2023-04-12T01:18:55Z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FF24EDD23721498F83B7A207B056DFC1</vt:lpwstr>
  </property>
  <property fmtid="{D5CDD505-2E9C-101B-9397-08002B2CF9AE}" pid="3" name="KSOProductBuildVer">
    <vt:lpwstr>2052-11.8.6.11825</vt:lpwstr>
  </property>
</Properties>
</file>