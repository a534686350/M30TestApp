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firstSheet="1" activeTab="2"/>
  </bookViews>
  <sheets>
    <sheet name="爆破压力测试报告Burst pressure test" sheetId="7" r:id="rId1"/>
    <sheet name="拉力测试Pull test " sheetId="6" r:id="rId2"/>
    <sheet name="新晶圆性能测Wafer performance test" sheetId="5" r:id="rId3"/>
    <sheet name="过载测试Overload test" sheetId="12" r:id="rId4"/>
    <sheet name="芯片过载以及爆破性能指标" sheetId="10" r:id="rId5"/>
  </sheets>
  <calcPr calcId="144525"/>
</workbook>
</file>

<file path=xl/sharedStrings.xml><?xml version="1.0" encoding="utf-8"?>
<sst xmlns="http://schemas.openxmlformats.org/spreadsheetml/2006/main" count="309" uniqueCount="190">
  <si>
    <t>划片后的爆破压力测试
Burst pressure test after dicing</t>
  </si>
  <si>
    <t>晶圆编号
Wafer numbe</t>
  </si>
  <si>
    <t>型号
Type</t>
  </si>
  <si>
    <t>可接受爆破压力
Acceptable bursting pressure</t>
  </si>
  <si>
    <t>备注
comments</t>
  </si>
  <si>
    <t>序号
Number</t>
  </si>
  <si>
    <t>芯片坐标
Coordinate of die</t>
  </si>
  <si>
    <t>爆破压力
Burst pressure</t>
  </si>
  <si>
    <t>失效形式
Failure mode</t>
  </si>
  <si>
    <t>失效模式说明：
Note for failure mode：
    A代表玻璃部分被破坏，B代表键合表面发生分离，
    A —Break inside glass，B—Delamination of bond interface，
    C代表薄膜处被破坏，D代表硅部分被破坏
    C—Break of membrane，D—Break of silicon die</t>
  </si>
  <si>
    <t>划片后的拉力测试
Pull  test after dicing</t>
  </si>
  <si>
    <t>坐标
Coordinate</t>
  </si>
  <si>
    <t>拉力
Pull force</t>
  </si>
  <si>
    <t>失效模式
Failure mode</t>
  </si>
  <si>
    <t>结果
Result</t>
  </si>
  <si>
    <t>备注
Remarks</t>
  </si>
  <si>
    <t>Slot</t>
  </si>
  <si>
    <t>SN</t>
  </si>
  <si>
    <t>Wafer numbe</t>
  </si>
  <si>
    <t>Position
x</t>
  </si>
  <si>
    <t>Position
y</t>
  </si>
  <si>
    <t>25℃</t>
  </si>
  <si>
    <t>85℃</t>
  </si>
  <si>
    <t>R(Ω)</t>
  </si>
  <si>
    <t>Usig0(mV)</t>
  </si>
  <si>
    <t>Usig50(mV)</t>
  </si>
  <si>
    <t>Usig100(mV)</t>
  </si>
  <si>
    <t>Usig0(mV）</t>
  </si>
  <si>
    <t>Temp（℃)</t>
  </si>
  <si>
    <t>Offset</t>
  </si>
  <si>
    <t>Span</t>
  </si>
  <si>
    <t>Linearity</t>
  </si>
  <si>
    <t>TCO</t>
  </si>
  <si>
    <t>TCS</t>
  </si>
  <si>
    <t>TCR</t>
  </si>
  <si>
    <t>THO</t>
  </si>
  <si>
    <t>THS</t>
  </si>
  <si>
    <t>Pressure hysteresis</t>
  </si>
  <si>
    <t>Result</t>
  </si>
  <si>
    <t>P0</t>
  </si>
  <si>
    <t>P50</t>
  </si>
  <si>
    <t>P100</t>
  </si>
  <si>
    <t>测试设备</t>
  </si>
  <si>
    <t>142426-08-01</t>
  </si>
  <si>
    <t>142426-08
HPT-LP-K11.1-K10-D05</t>
  </si>
  <si>
    <t>6270A BG14K</t>
  </si>
  <si>
    <t>142426-08-02</t>
  </si>
  <si>
    <t>142426-08-03</t>
  </si>
  <si>
    <t>142426-08-04</t>
  </si>
  <si>
    <t>142426-08-05</t>
  </si>
  <si>
    <t>过载测试工单</t>
  </si>
  <si>
    <t>JL-C3-50</t>
  </si>
  <si>
    <t>晶圆编号</t>
  </si>
  <si>
    <t>型号</t>
  </si>
  <si>
    <t>备注</t>
  </si>
  <si>
    <t>合格标准</t>
  </si>
  <si>
    <t xml:space="preserve">     过载压力：</t>
  </si>
  <si>
    <t>日期：</t>
  </si>
  <si>
    <t>测试说明</t>
  </si>
  <si>
    <t>当要求过载压力≤20MPa时，采用性能测试样品做过载测试；先做过载，再做性能测试。
当要求过载压力 &gt;20MPa时，制作成充油芯体做过载测试(不贴陶瓷)。</t>
  </si>
  <si>
    <t>制样负责人</t>
  </si>
  <si>
    <t>于浪</t>
  </si>
  <si>
    <t>测试负责人</t>
  </si>
  <si>
    <t>黄林</t>
  </si>
  <si>
    <t>坐标</t>
  </si>
  <si>
    <t>Span1</t>
  </si>
  <si>
    <t>Span2</t>
  </si>
  <si>
    <t>过载压力
结果</t>
  </si>
  <si>
    <t>R合格   £不合格</t>
  </si>
  <si>
    <t>过载测试：
1、测量芯片的Span，
2、以过载指标的20%为步进，逐步加到过载指标，保压2min之后，泄压。
3、泄压后，测量芯片的Span。
4、最后检查芯片的外观。</t>
  </si>
  <si>
    <t>M30专用芯片过压指标</t>
  </si>
  <si>
    <t>工业芯片过压指标</t>
  </si>
  <si>
    <t>标准HPT芯片过压指标</t>
  </si>
  <si>
    <t>M30代号</t>
  </si>
  <si>
    <t>正面过载</t>
  </si>
  <si>
    <t>爆破测试</t>
  </si>
  <si>
    <t>量程</t>
  </si>
  <si>
    <t>HPT-MP-k40-k100-G20</t>
  </si>
  <si>
    <t>G4</t>
  </si>
  <si>
    <t>&gt;800kPa</t>
  </si>
  <si>
    <t>&gt;400kPa</t>
  </si>
  <si>
    <t>HRT-MP-k16.7-k10.-G20/G08</t>
  </si>
  <si>
    <t>10kPa</t>
  </si>
  <si>
    <t>&gt;100kPa</t>
  </si>
  <si>
    <t>HPT-LP-k4.0-D05</t>
  </si>
  <si>
    <t>4kPa</t>
  </si>
  <si>
    <t>&gt;200kPa</t>
  </si>
  <si>
    <t>HPT-MP-k100-k400-G20</t>
  </si>
  <si>
    <t>G1</t>
  </si>
  <si>
    <t>&gt;2MPa</t>
  </si>
  <si>
    <t>&gt;1MPa</t>
  </si>
  <si>
    <t>HRT-MP-k25.-G20/G08</t>
  </si>
  <si>
    <t>25kPa</t>
  </si>
  <si>
    <t>&gt;250kPa</t>
  </si>
  <si>
    <t>HPT-LP-k10.-D05/G20</t>
  </si>
  <si>
    <t>HPT-HP-M1.1-M3.0-G20</t>
  </si>
  <si>
    <t>G2</t>
  </si>
  <si>
    <t>&gt;6Mpa</t>
  </si>
  <si>
    <t>&gt;2.5Mpa</t>
  </si>
  <si>
    <t>HRT-MP-k60.-A08/A20</t>
  </si>
  <si>
    <t>60kPa</t>
  </si>
  <si>
    <t>&gt;600kPa</t>
  </si>
  <si>
    <t>————</t>
  </si>
  <si>
    <t>HPT-MP-k40.-A08/A20</t>
  </si>
  <si>
    <t>40kPa</t>
  </si>
  <si>
    <t>HPT-HP-M5.6-M20.-G20</t>
  </si>
  <si>
    <t>G3</t>
  </si>
  <si>
    <t>&gt;30MPa</t>
  </si>
  <si>
    <t>&gt;7.5MPa</t>
  </si>
  <si>
    <t>HRT-MP-k60.-G20/G08</t>
  </si>
  <si>
    <t>HPT-MP-k40.-G08/G20/D05</t>
  </si>
  <si>
    <t>HPT-LP-k4.4-k2.0-D05</t>
  </si>
  <si>
    <t>D0</t>
  </si>
  <si>
    <t>&gt;300kPa</t>
  </si>
  <si>
    <t>&gt;150kPa</t>
  </si>
  <si>
    <t>HRT-HP-k100-A08/A20</t>
  </si>
  <si>
    <t>100kPa</t>
  </si>
  <si>
    <t>HPT-MP-k100-A08/A20</t>
  </si>
  <si>
    <t>HPT-LP-k11.1-k10.-D05</t>
  </si>
  <si>
    <t>D1</t>
  </si>
  <si>
    <t>HRT-HP-k100-G08/G20</t>
  </si>
  <si>
    <t>HPT-MP-k100-G08/G20/D05</t>
  </si>
  <si>
    <t>HPT-MP-k47.6-k100-D05</t>
  </si>
  <si>
    <t>D2</t>
  </si>
  <si>
    <t>HRT-HP-k400-A08/A20</t>
  </si>
  <si>
    <t>400kPa</t>
  </si>
  <si>
    <t>&gt;4MPa</t>
  </si>
  <si>
    <t>HPT-HP-k400-A08/A20</t>
  </si>
  <si>
    <t>HPT-MP-k189-k500-D05</t>
  </si>
  <si>
    <t>D3</t>
  </si>
  <si>
    <t>&gt;2.5MPa</t>
  </si>
  <si>
    <t>&gt;1.2MPa</t>
  </si>
  <si>
    <t>HRT-HP-k400-G08/G20</t>
  </si>
  <si>
    <t>HPT-HP-k400-G08/D05/G20</t>
  </si>
  <si>
    <t>HPT-HP-M1.1-M3.0-D05</t>
  </si>
  <si>
    <t>D4</t>
  </si>
  <si>
    <t>&gt;8Mpa</t>
  </si>
  <si>
    <t>HRT-HP-M1.0-A08/A20</t>
  </si>
  <si>
    <t>1MPa</t>
  </si>
  <si>
    <t>&gt;5MPa</t>
  </si>
  <si>
    <t>HPT-HP-M1.0-A08/A20</t>
  </si>
  <si>
    <t>&gt;6MPa</t>
  </si>
  <si>
    <t>HPT-HP-M5.6-M20.-D05</t>
  </si>
  <si>
    <t>D5</t>
  </si>
  <si>
    <t>&gt;25MPa</t>
  </si>
  <si>
    <t>&gt;3MPa</t>
  </si>
  <si>
    <t>HRT-HP-M1.0-G08/G20</t>
  </si>
  <si>
    <t>HPT-HP-M1.0-G08/D05/G20</t>
  </si>
  <si>
    <t>HPT-MP-k29.4-k25.-A08</t>
  </si>
  <si>
    <t>A0</t>
  </si>
  <si>
    <t>——</t>
  </si>
  <si>
    <t>HRT-HP-M1.6-A08/A20</t>
  </si>
  <si>
    <t>1.6MPa</t>
  </si>
  <si>
    <t>&gt;8MPa</t>
  </si>
  <si>
    <t>HPT-HP-M4.0-A08/A20</t>
  </si>
  <si>
    <t>4MPa</t>
  </si>
  <si>
    <t>&gt;12MPa</t>
  </si>
  <si>
    <t>HPT-MP-k36.1-k130-A08</t>
  </si>
  <si>
    <t>A1</t>
  </si>
  <si>
    <t>HRT-HP-M1.6-G08/G20</t>
  </si>
  <si>
    <t>&gt;4.8MPa</t>
  </si>
  <si>
    <t>HPT-HP-M4.0-G08/G20</t>
  </si>
  <si>
    <t>HPT-MP-k100-k500-A08</t>
  </si>
  <si>
    <t>A2</t>
  </si>
  <si>
    <t>&gt;2Mpa</t>
  </si>
  <si>
    <t>HRT-HP-M2.5-A08/A20</t>
  </si>
  <si>
    <t>2.5MPa</t>
  </si>
  <si>
    <t>&gt;12.5MPa</t>
  </si>
  <si>
    <t>HPT-HP-M10.-A08</t>
  </si>
  <si>
    <t>10MPa</t>
  </si>
  <si>
    <t>&gt;20MPa</t>
  </si>
  <si>
    <t>HPT-HP-M3.2-M3.2-A08</t>
  </si>
  <si>
    <t>A3</t>
  </si>
  <si>
    <t>&gt;15Mpa</t>
  </si>
  <si>
    <t>HRT-HP-M2.5-G08/G20</t>
  </si>
  <si>
    <t>HPT-HP-M40.-A08</t>
  </si>
  <si>
    <t>40MPa</t>
  </si>
  <si>
    <t>&gt;80MPa</t>
  </si>
  <si>
    <t>HPT-HP.1-M20.3-M70.-A08</t>
  </si>
  <si>
    <t>A4</t>
  </si>
  <si>
    <t>HRT-HP-M4.0-A08/A20</t>
  </si>
  <si>
    <t>HRT-HP-M4.0-G08/G20</t>
  </si>
  <si>
    <t>HRT-HP-M10.-A08/A20</t>
  </si>
  <si>
    <t>HRT-HP-M10.-G08/G20</t>
  </si>
  <si>
    <t>HRT-HP-M25.-A08/A20</t>
  </si>
  <si>
    <t>25MPa</t>
  </si>
  <si>
    <t>&gt;50MPa</t>
  </si>
  <si>
    <t>·</t>
  </si>
  <si>
    <t>HRT-HP-M25.-G08/G20</t>
  </si>
  <si>
    <t>HRT-HP-M40.-A08/A20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</si>
</sst>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(@\)"/>
    <numFmt numFmtId="177" formatCode="0_ "/>
    <numFmt numFmtId="178" formatCode="@\K\P\a"/>
  </numFmts>
  <fonts count="36">
    <font>
      <sz val="11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24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6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10"/>
      <color theme="1"/>
      <name val="Wingdings 2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0"/>
      <color theme="1"/>
      <name val="等线"/>
      <charset val="134"/>
    </font>
    <font>
      <b/>
      <sz val="11"/>
      <color rgb="FF000000"/>
      <name val="等线"/>
      <charset val="134"/>
    </font>
    <font>
      <sz val="14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2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3" borderId="29" applyNumberFormat="0" applyFon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9" fillId="17" borderId="32" applyNumberFormat="0" applyAlignment="0" applyProtection="0">
      <alignment vertical="center"/>
    </xf>
    <xf numFmtId="0" fontId="30" fillId="17" borderId="28" applyNumberFormat="0" applyAlignment="0" applyProtection="0">
      <alignment vertical="center"/>
    </xf>
    <xf numFmtId="0" fontId="31" fillId="18" borderId="33" applyNumberForma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32" fillId="0" borderId="34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</cellStyleXfs>
  <cellXfs count="135">
    <xf numFmtId="0" fontId="0" fillId="0" borderId="0" xfId="0"/>
    <xf numFmtId="0" fontId="0" fillId="0" borderId="0" xfId="50"/>
    <xf numFmtId="0" fontId="0" fillId="0" borderId="0" xfId="50" applyAlignment="1">
      <alignment horizontal="center"/>
    </xf>
    <xf numFmtId="0" fontId="0" fillId="0" borderId="0" xfId="50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0" fontId="0" fillId="0" borderId="2" xfId="50" applyBorder="1" applyAlignment="1">
      <alignment horizontal="center" vertical="center"/>
    </xf>
    <xf numFmtId="0" fontId="0" fillId="0" borderId="3" xfId="50" applyBorder="1" applyAlignment="1">
      <alignment horizontal="center" vertical="center"/>
    </xf>
    <xf numFmtId="0" fontId="1" fillId="0" borderId="4" xfId="50" applyFont="1" applyBorder="1" applyAlignment="1">
      <alignment horizontal="center" vertical="center"/>
    </xf>
    <xf numFmtId="0" fontId="0" fillId="0" borderId="5" xfId="50" applyBorder="1" applyAlignment="1">
      <alignment horizontal="center" vertical="center"/>
    </xf>
    <xf numFmtId="0" fontId="2" fillId="0" borderId="6" xfId="50" applyFont="1" applyBorder="1" applyAlignment="1">
      <alignment horizontal="center" vertical="center"/>
    </xf>
    <xf numFmtId="0" fontId="2" fillId="0" borderId="7" xfId="50" applyFont="1" applyBorder="1" applyAlignment="1">
      <alignment horizontal="center" vertical="center"/>
    </xf>
    <xf numFmtId="0" fontId="2" fillId="0" borderId="7" xfId="50" applyFont="1" applyBorder="1" applyAlignment="1">
      <alignment horizontal="center" vertical="center" wrapText="1"/>
    </xf>
    <xf numFmtId="0" fontId="2" fillId="0" borderId="8" xfId="50" applyFont="1" applyBorder="1" applyAlignment="1">
      <alignment horizontal="center" vertical="center" wrapText="1"/>
    </xf>
    <xf numFmtId="0" fontId="3" fillId="0" borderId="7" xfId="50" applyFont="1" applyFill="1" applyBorder="1" applyAlignment="1">
      <alignment horizontal="center" vertical="center" wrapText="1"/>
    </xf>
    <xf numFmtId="0" fontId="3" fillId="0" borderId="8" xfId="50" applyFont="1" applyFill="1" applyBorder="1" applyAlignment="1">
      <alignment horizontal="center" vertical="center" wrapText="1"/>
    </xf>
    <xf numFmtId="0" fontId="0" fillId="0" borderId="6" xfId="50" applyFont="1" applyBorder="1" applyAlignment="1">
      <alignment horizontal="center" vertical="center"/>
    </xf>
    <xf numFmtId="0" fontId="0" fillId="0" borderId="7" xfId="50" applyFont="1" applyBorder="1" applyAlignment="1">
      <alignment horizontal="center" vertical="center"/>
    </xf>
    <xf numFmtId="0" fontId="4" fillId="0" borderId="7" xfId="50" applyFont="1" applyFill="1" applyBorder="1" applyAlignment="1">
      <alignment horizontal="center" vertical="center" wrapText="1"/>
    </xf>
    <xf numFmtId="0" fontId="3" fillId="0" borderId="7" xfId="50" applyFont="1" applyFill="1" applyBorder="1" applyAlignment="1">
      <alignment horizontal="center" vertical="center"/>
    </xf>
    <xf numFmtId="0" fontId="3" fillId="0" borderId="8" xfId="50" applyFont="1" applyFill="1" applyBorder="1" applyAlignment="1">
      <alignment horizontal="center" vertical="center"/>
    </xf>
    <xf numFmtId="0" fontId="4" fillId="0" borderId="7" xfId="50" applyFont="1" applyFill="1" applyBorder="1" applyAlignment="1">
      <alignment horizontal="center" vertical="center"/>
    </xf>
    <xf numFmtId="0" fontId="0" fillId="2" borderId="6" xfId="49" applyFont="1" applyFill="1" applyBorder="1" applyAlignment="1">
      <alignment horizontal="center" vertical="center" wrapText="1"/>
    </xf>
    <xf numFmtId="0" fontId="2" fillId="2" borderId="6" xfId="49" applyFont="1" applyFill="1" applyBorder="1" applyAlignment="1">
      <alignment horizontal="center" vertical="center" wrapText="1"/>
    </xf>
    <xf numFmtId="0" fontId="2" fillId="0" borderId="7" xfId="50" applyFont="1" applyBorder="1" applyAlignment="1">
      <alignment horizontal="center"/>
    </xf>
    <xf numFmtId="0" fontId="2" fillId="2" borderId="6" xfId="49" applyFont="1" applyFill="1" applyBorder="1" applyAlignment="1">
      <alignment horizontal="center" vertical="center"/>
    </xf>
    <xf numFmtId="0" fontId="0" fillId="2" borderId="6" xfId="49" applyFont="1" applyFill="1" applyBorder="1" applyAlignment="1">
      <alignment horizontal="center" vertical="center"/>
    </xf>
    <xf numFmtId="0" fontId="2" fillId="0" borderId="8" xfId="50" applyFont="1" applyFill="1" applyBorder="1" applyAlignment="1">
      <alignment horizontal="center" vertical="center"/>
    </xf>
    <xf numFmtId="0" fontId="2" fillId="2" borderId="9" xfId="49" applyFont="1" applyFill="1" applyBorder="1" applyAlignment="1">
      <alignment horizontal="center" vertical="center"/>
    </xf>
    <xf numFmtId="0" fontId="2" fillId="0" borderId="10" xfId="50" applyFont="1" applyBorder="1" applyAlignment="1">
      <alignment horizontal="center"/>
    </xf>
    <xf numFmtId="0" fontId="3" fillId="0" borderId="10" xfId="50" applyFont="1" applyFill="1" applyBorder="1" applyAlignment="1">
      <alignment horizontal="center" vertical="center"/>
    </xf>
    <xf numFmtId="0" fontId="2" fillId="0" borderId="11" xfId="50" applyFont="1" applyFill="1" applyBorder="1" applyAlignment="1">
      <alignment horizontal="center" vertical="center"/>
    </xf>
    <xf numFmtId="0" fontId="0" fillId="0" borderId="0" xfId="50" applyFont="1" applyAlignment="1"/>
    <xf numFmtId="0" fontId="0" fillId="0" borderId="0" xfId="50" applyAlignment="1"/>
    <xf numFmtId="0" fontId="0" fillId="2" borderId="9" xfId="49" applyFont="1" applyFill="1" applyBorder="1" applyAlignment="1">
      <alignment horizontal="center" vertical="center"/>
    </xf>
    <xf numFmtId="0" fontId="0" fillId="0" borderId="10" xfId="50" applyFont="1" applyBorder="1" applyAlignment="1">
      <alignment horizontal="center" vertical="center"/>
    </xf>
    <xf numFmtId="0" fontId="4" fillId="0" borderId="10" xfId="50" applyFont="1" applyFill="1" applyBorder="1" applyAlignment="1">
      <alignment horizontal="center" vertical="center"/>
    </xf>
    <xf numFmtId="0" fontId="0" fillId="0" borderId="12" xfId="50" applyBorder="1" applyAlignment="1">
      <alignment horizontal="center" vertical="center"/>
    </xf>
    <xf numFmtId="0" fontId="4" fillId="0" borderId="8" xfId="50" applyFont="1" applyFill="1" applyBorder="1" applyAlignment="1">
      <alignment horizontal="center" vertical="center" wrapText="1"/>
    </xf>
    <xf numFmtId="0" fontId="4" fillId="0" borderId="8" xfId="50" applyFont="1" applyFill="1" applyBorder="1" applyAlignment="1">
      <alignment horizontal="center" vertical="center"/>
    </xf>
    <xf numFmtId="0" fontId="0" fillId="0" borderId="8" xfId="50" applyFont="1" applyBorder="1" applyAlignment="1">
      <alignment horizontal="center" vertical="center"/>
    </xf>
    <xf numFmtId="0" fontId="0" fillId="0" borderId="8" xfId="50" applyFont="1" applyFill="1" applyBorder="1" applyAlignment="1">
      <alignment horizontal="center" vertical="center"/>
    </xf>
    <xf numFmtId="0" fontId="3" fillId="0" borderId="11" xfId="50" applyFont="1" applyFill="1" applyBorder="1" applyAlignment="1">
      <alignment horizontal="center" vertical="center"/>
    </xf>
    <xf numFmtId="0" fontId="2" fillId="0" borderId="0" xfId="49" applyFont="1" applyFill="1" applyBorder="1" applyAlignment="1">
      <alignment horizontal="center" vertical="center"/>
    </xf>
    <xf numFmtId="0" fontId="2" fillId="0" borderId="0" xfId="50" applyFont="1" applyBorder="1" applyAlignment="1">
      <alignment horizontal="center"/>
    </xf>
    <xf numFmtId="0" fontId="3" fillId="0" borderId="0" xfId="50" applyFont="1" applyFill="1" applyBorder="1" applyAlignment="1">
      <alignment horizontal="center" vertical="center"/>
    </xf>
    <xf numFmtId="0" fontId="2" fillId="0" borderId="0" xfId="50" applyFont="1" applyFill="1" applyBorder="1" applyAlignment="1">
      <alignment horizontal="center" vertical="center"/>
    </xf>
    <xf numFmtId="0" fontId="0" fillId="0" borderId="0" xfId="50" applyBorder="1"/>
    <xf numFmtId="0" fontId="0" fillId="0" borderId="0" xfId="50" applyFont="1"/>
    <xf numFmtId="0" fontId="0" fillId="0" borderId="11" xfId="50" applyFont="1" applyFill="1" applyBorder="1" applyAlignment="1">
      <alignment horizontal="center" vertical="center"/>
    </xf>
    <xf numFmtId="0" fontId="0" fillId="0" borderId="0" xfId="51"/>
    <xf numFmtId="0" fontId="0" fillId="0" borderId="0" xfId="51" applyAlignment="1">
      <alignment wrapText="1"/>
    </xf>
    <xf numFmtId="0" fontId="0" fillId="0" borderId="4" xfId="51" applyBorder="1"/>
    <xf numFmtId="0" fontId="1" fillId="0" borderId="5" xfId="51" applyFont="1" applyBorder="1" applyAlignment="1">
      <alignment horizontal="center" vertical="center" wrapText="1"/>
    </xf>
    <xf numFmtId="0" fontId="5" fillId="0" borderId="5" xfId="51" applyFont="1" applyBorder="1" applyAlignment="1">
      <alignment horizontal="center" vertical="center" wrapText="1"/>
    </xf>
    <xf numFmtId="0" fontId="0" fillId="0" borderId="5" xfId="51" applyBorder="1" applyAlignment="1">
      <alignment horizontal="center" vertical="center" wrapText="1"/>
    </xf>
    <xf numFmtId="0" fontId="0" fillId="0" borderId="12" xfId="51" applyFont="1" applyBorder="1" applyAlignment="1">
      <alignment horizontal="center" vertical="center"/>
    </xf>
    <xf numFmtId="0" fontId="0" fillId="0" borderId="13" xfId="51" applyBorder="1" applyAlignment="1">
      <alignment horizontal="center" vertical="center" wrapText="1"/>
    </xf>
    <xf numFmtId="0" fontId="0" fillId="0" borderId="14" xfId="51" applyBorder="1" applyAlignment="1">
      <alignment horizontal="center" vertical="center" wrapText="1"/>
    </xf>
    <xf numFmtId="0" fontId="0" fillId="0" borderId="15" xfId="51" applyBorder="1" applyAlignment="1">
      <alignment horizontal="center" vertical="center" wrapText="1"/>
    </xf>
    <xf numFmtId="0" fontId="6" fillId="0" borderId="6" xfId="51" applyFont="1" applyBorder="1" applyAlignment="1">
      <alignment horizontal="center" vertical="center" wrapText="1"/>
    </xf>
    <xf numFmtId="0" fontId="6" fillId="0" borderId="16" xfId="51" applyFont="1" applyBorder="1" applyAlignment="1">
      <alignment horizontal="center" vertical="center" wrapText="1"/>
    </xf>
    <xf numFmtId="0" fontId="6" fillId="0" borderId="17" xfId="51" applyFont="1" applyBorder="1" applyAlignment="1">
      <alignment horizontal="center" vertical="center" wrapText="1"/>
    </xf>
    <xf numFmtId="0" fontId="6" fillId="0" borderId="7" xfId="51" applyFont="1" applyBorder="1" applyAlignment="1">
      <alignment horizontal="center" vertical="center"/>
    </xf>
    <xf numFmtId="0" fontId="6" fillId="0" borderId="8" xfId="51" applyFont="1" applyBorder="1" applyAlignment="1">
      <alignment horizontal="center" vertical="center"/>
    </xf>
    <xf numFmtId="0" fontId="6" fillId="0" borderId="18" xfId="51" applyFont="1" applyBorder="1" applyAlignment="1">
      <alignment horizontal="center" vertical="center" wrapText="1"/>
    </xf>
    <xf numFmtId="0" fontId="6" fillId="0" borderId="7" xfId="51" applyFont="1" applyBorder="1" applyAlignment="1">
      <alignment horizontal="left" vertical="center" wrapText="1"/>
    </xf>
    <xf numFmtId="0" fontId="6" fillId="0" borderId="7" xfId="51" applyFont="1" applyBorder="1" applyAlignment="1">
      <alignment vertical="center" wrapText="1"/>
    </xf>
    <xf numFmtId="0" fontId="6" fillId="0" borderId="19" xfId="51" applyFont="1" applyBorder="1" applyAlignment="1">
      <alignment vertical="center"/>
    </xf>
    <xf numFmtId="0" fontId="6" fillId="0" borderId="6" xfId="51" applyFont="1" applyBorder="1" applyAlignment="1">
      <alignment horizontal="center" vertical="center"/>
    </xf>
    <xf numFmtId="0" fontId="7" fillId="0" borderId="16" xfId="51" applyFont="1" applyBorder="1" applyAlignment="1">
      <alignment horizontal="left" vertical="center" wrapText="1"/>
    </xf>
    <xf numFmtId="0" fontId="7" fillId="0" borderId="14" xfId="51" applyFont="1" applyBorder="1" applyAlignment="1">
      <alignment horizontal="left" vertical="center" wrapText="1"/>
    </xf>
    <xf numFmtId="0" fontId="8" fillId="0" borderId="14" xfId="51" applyFont="1" applyBorder="1" applyAlignment="1">
      <alignment horizontal="left" vertical="center" wrapText="1"/>
    </xf>
    <xf numFmtId="0" fontId="8" fillId="0" borderId="17" xfId="51" applyFont="1" applyBorder="1" applyAlignment="1">
      <alignment horizontal="left" vertical="center" wrapText="1"/>
    </xf>
    <xf numFmtId="0" fontId="0" fillId="0" borderId="8" xfId="51" applyBorder="1" applyAlignment="1">
      <alignment vertical="center"/>
    </xf>
    <xf numFmtId="0" fontId="6" fillId="0" borderId="7" xfId="51" applyFont="1" applyBorder="1" applyAlignment="1">
      <alignment horizontal="center" vertical="center" wrapText="1"/>
    </xf>
    <xf numFmtId="0" fontId="9" fillId="0" borderId="8" xfId="51" applyFont="1" applyBorder="1" applyAlignment="1">
      <alignment horizontal="left" vertical="center" wrapText="1"/>
    </xf>
    <xf numFmtId="0" fontId="6" fillId="0" borderId="16" xfId="51" applyFont="1" applyBorder="1" applyAlignment="1">
      <alignment horizontal="center" vertical="center"/>
    </xf>
    <xf numFmtId="0" fontId="6" fillId="0" borderId="17" xfId="51" applyFont="1" applyBorder="1" applyAlignment="1">
      <alignment horizontal="center" vertical="center"/>
    </xf>
    <xf numFmtId="0" fontId="0" fillId="0" borderId="19" xfId="51" applyBorder="1" applyAlignment="1">
      <alignment horizontal="center"/>
    </xf>
    <xf numFmtId="176" fontId="0" fillId="0" borderId="6" xfId="51" applyNumberFormat="1" applyBorder="1" applyAlignment="1">
      <alignment horizontal="center" vertical="center"/>
    </xf>
    <xf numFmtId="0" fontId="0" fillId="0" borderId="7" xfId="51" applyBorder="1" applyAlignment="1">
      <alignment wrapText="1"/>
    </xf>
    <xf numFmtId="0" fontId="10" fillId="0" borderId="16" xfId="51" applyFont="1" applyBorder="1" applyAlignment="1">
      <alignment horizontal="center" vertical="center"/>
    </xf>
    <xf numFmtId="0" fontId="10" fillId="0" borderId="17" xfId="51" applyFont="1" applyBorder="1" applyAlignment="1">
      <alignment horizontal="center" vertical="center"/>
    </xf>
    <xf numFmtId="0" fontId="0" fillId="0" borderId="20" xfId="51" applyBorder="1" applyAlignment="1">
      <alignment horizontal="center"/>
    </xf>
    <xf numFmtId="176" fontId="6" fillId="0" borderId="6" xfId="51" applyNumberFormat="1" applyFont="1" applyBorder="1" applyAlignment="1">
      <alignment horizontal="center" vertical="center" wrapText="1"/>
    </xf>
    <xf numFmtId="0" fontId="0" fillId="0" borderId="21" xfId="51" applyBorder="1" applyAlignment="1">
      <alignment horizontal="center"/>
    </xf>
    <xf numFmtId="0" fontId="7" fillId="0" borderId="9" xfId="51" applyFont="1" applyBorder="1" applyAlignment="1">
      <alignment horizontal="left" vertical="center" wrapText="1"/>
    </xf>
    <xf numFmtId="0" fontId="0" fillId="0" borderId="10" xfId="51" applyBorder="1" applyAlignment="1">
      <alignment horizontal="left" vertical="center" wrapText="1"/>
    </xf>
    <xf numFmtId="0" fontId="0" fillId="0" borderId="22" xfId="51" applyBorder="1" applyAlignment="1">
      <alignment vertical="center" wrapText="1"/>
    </xf>
    <xf numFmtId="0" fontId="0" fillId="0" borderId="0" xfId="0" applyFill="1" applyAlignment="1">
      <alignment vertical="center"/>
    </xf>
    <xf numFmtId="0" fontId="11" fillId="0" borderId="0" xfId="49" applyFont="1" applyAlignment="1">
      <alignment horizontal="left" vertical="center"/>
    </xf>
    <xf numFmtId="0" fontId="11" fillId="0" borderId="0" xfId="49" applyFont="1">
      <alignment vertical="center"/>
    </xf>
    <xf numFmtId="0" fontId="11" fillId="0" borderId="0" xfId="49" applyFont="1" applyAlignment="1">
      <alignment horizontal="center" vertical="center"/>
    </xf>
    <xf numFmtId="0" fontId="11" fillId="0" borderId="7" xfId="49" applyFont="1" applyBorder="1" applyAlignment="1">
      <alignment horizontal="center" vertical="center"/>
    </xf>
    <xf numFmtId="0" fontId="11" fillId="0" borderId="23" xfId="49" applyFont="1" applyBorder="1" applyAlignment="1">
      <alignment horizontal="center" vertical="center"/>
    </xf>
    <xf numFmtId="0" fontId="11" fillId="0" borderId="7" xfId="49" applyFont="1" applyBorder="1" applyAlignment="1">
      <alignment horizontal="center" vertical="center" wrapText="1"/>
    </xf>
    <xf numFmtId="0" fontId="11" fillId="3" borderId="7" xfId="49" applyFont="1" applyFill="1" applyBorder="1" applyAlignment="1">
      <alignment horizontal="center" vertical="center"/>
    </xf>
    <xf numFmtId="0" fontId="11" fillId="0" borderId="24" xfId="49" applyFont="1" applyBorder="1" applyAlignment="1">
      <alignment horizontal="center" vertical="center"/>
    </xf>
    <xf numFmtId="0" fontId="11" fillId="4" borderId="7" xfId="49" applyFont="1" applyFill="1" applyBorder="1" applyAlignment="1">
      <alignment horizontal="center" vertical="center"/>
    </xf>
    <xf numFmtId="0" fontId="11" fillId="5" borderId="7" xfId="49" applyFont="1" applyFill="1" applyBorder="1" applyAlignment="1">
      <alignment horizontal="center" vertical="center"/>
    </xf>
    <xf numFmtId="0" fontId="11" fillId="0" borderId="23" xfId="49" applyFont="1" applyBorder="1">
      <alignment vertical="center"/>
    </xf>
    <xf numFmtId="0" fontId="11" fillId="0" borderId="7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wrapText="1"/>
    </xf>
    <xf numFmtId="177" fontId="12" fillId="0" borderId="7" xfId="0" applyNumberFormat="1" applyFont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58" fontId="0" fillId="0" borderId="0" xfId="0" applyNumberFormat="1" applyFill="1" applyAlignment="1">
      <alignment vertical="center"/>
    </xf>
    <xf numFmtId="0" fontId="11" fillId="7" borderId="7" xfId="49" applyFont="1" applyFill="1" applyBorder="1" applyAlignment="1">
      <alignment horizontal="center" vertical="center"/>
    </xf>
    <xf numFmtId="0" fontId="14" fillId="0" borderId="0" xfId="49" applyFont="1" applyAlignment="1">
      <alignment horizontal="center"/>
    </xf>
    <xf numFmtId="0" fontId="14" fillId="3" borderId="0" xfId="49" applyFont="1" applyFill="1" applyAlignment="1">
      <alignment horizontal="center"/>
    </xf>
    <xf numFmtId="0" fontId="6" fillId="6" borderId="25" xfId="0" applyFont="1" applyFill="1" applyBorder="1" applyAlignment="1">
      <alignment horizontal="center" vertical="center"/>
    </xf>
    <xf numFmtId="0" fontId="11" fillId="0" borderId="0" xfId="0" applyFont="1" applyFill="1" applyBorder="1" applyAlignment="1"/>
    <xf numFmtId="0" fontId="11" fillId="0" borderId="7" xfId="49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27" xfId="0" applyBorder="1" applyAlignment="1"/>
    <xf numFmtId="0" fontId="0" fillId="0" borderId="0" xfId="0" applyAlignment="1"/>
    <xf numFmtId="0" fontId="0" fillId="0" borderId="0" xfId="0" applyAlignment="1">
      <alignment wrapText="1"/>
    </xf>
    <xf numFmtId="0" fontId="16" fillId="0" borderId="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76" fontId="0" fillId="0" borderId="7" xfId="0" applyNumberFormat="1" applyFont="1" applyFill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0" fontId="0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76835</xdr:colOff>
      <xdr:row>0</xdr:row>
      <xdr:rowOff>150495</xdr:rowOff>
    </xdr:from>
    <xdr:ext cx="624051" cy="557950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5" t="39518" r="83831" b="36461"/>
        <a:stretch>
          <a:fillRect/>
        </a:stretch>
      </xdr:blipFill>
      <xdr:spPr>
        <a:xfrm>
          <a:off x="76835" y="150495"/>
          <a:ext cx="623570" cy="55753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76835</xdr:colOff>
      <xdr:row>0</xdr:row>
      <xdr:rowOff>150495</xdr:rowOff>
    </xdr:from>
    <xdr:ext cx="624051" cy="557950"/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5" t="39518" r="83831" b="36461"/>
        <a:stretch>
          <a:fillRect/>
        </a:stretch>
      </xdr:blipFill>
      <xdr:spPr>
        <a:xfrm>
          <a:off x="76835" y="150495"/>
          <a:ext cx="623570" cy="5575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zoomScale="115" zoomScaleNormal="115" workbookViewId="0">
      <selection activeCell="B5" sqref="B5:D5"/>
    </sheetView>
  </sheetViews>
  <sheetFormatPr defaultColWidth="9" defaultRowHeight="14.25"/>
  <cols>
    <col min="1" max="1" width="11.5833333333333" customWidth="1"/>
    <col min="2" max="2" width="12.4166666666667" customWidth="1"/>
    <col min="3" max="3" width="9.25" customWidth="1"/>
    <col min="4" max="4" width="22.0833333333333" customWidth="1"/>
    <col min="5" max="5" width="19.0833333333333" customWidth="1"/>
    <col min="6" max="6" width="17.5" style="121" customWidth="1"/>
    <col min="7" max="7" width="10.5833333333333" customWidth="1"/>
    <col min="8" max="8" width="21" customWidth="1"/>
    <col min="9" max="9" width="21.75" customWidth="1"/>
    <col min="10" max="10" width="21" customWidth="1"/>
    <col min="11" max="11" width="21.75" customWidth="1"/>
    <col min="12" max="12" width="21" customWidth="1"/>
    <col min="13" max="13" width="39.25" customWidth="1"/>
  </cols>
  <sheetData>
    <row r="1" ht="56.15" customHeight="1" spans="1:12">
      <c r="A1" s="122" t="s">
        <v>0</v>
      </c>
      <c r="B1" s="115"/>
      <c r="C1" s="115"/>
      <c r="D1" s="115"/>
      <c r="E1" s="115"/>
      <c r="F1" s="115"/>
      <c r="G1" s="123"/>
      <c r="H1" s="124">
        <v>1</v>
      </c>
      <c r="I1" s="124">
        <v>2</v>
      </c>
      <c r="J1" s="124">
        <v>3</v>
      </c>
      <c r="K1" s="124">
        <v>4</v>
      </c>
      <c r="L1" s="124">
        <v>5</v>
      </c>
    </row>
    <row r="2" ht="52" customHeight="1" spans="1:12">
      <c r="A2" s="116" t="s">
        <v>1</v>
      </c>
      <c r="B2" s="116"/>
      <c r="C2" s="116" t="s">
        <v>2</v>
      </c>
      <c r="D2" s="116"/>
      <c r="E2" s="116" t="s">
        <v>3</v>
      </c>
      <c r="F2" s="125"/>
      <c r="G2" s="115" t="s">
        <v>4</v>
      </c>
      <c r="H2" s="126"/>
      <c r="I2" s="126"/>
      <c r="J2" s="126"/>
      <c r="K2" s="126"/>
      <c r="L2" s="126"/>
    </row>
    <row r="3" ht="31.5" customHeight="1" spans="1:13">
      <c r="A3" s="115" t="s">
        <v>5</v>
      </c>
      <c r="B3" s="123" t="s">
        <v>6</v>
      </c>
      <c r="C3" s="127"/>
      <c r="D3" s="128"/>
      <c r="E3" s="115" t="s">
        <v>7</v>
      </c>
      <c r="F3" s="116" t="s">
        <v>8</v>
      </c>
      <c r="G3" s="117"/>
      <c r="H3" s="129"/>
      <c r="I3" s="129"/>
      <c r="J3" s="129"/>
      <c r="K3" s="129"/>
      <c r="L3" s="129"/>
      <c r="M3" s="121"/>
    </row>
    <row r="4" ht="20.15" customHeight="1" spans="1:12">
      <c r="A4" s="117">
        <v>1</v>
      </c>
      <c r="B4" s="130"/>
      <c r="C4" s="130"/>
      <c r="D4" s="130"/>
      <c r="E4" s="131"/>
      <c r="F4" s="117"/>
      <c r="G4" s="117"/>
      <c r="H4" s="129"/>
      <c r="I4" s="129"/>
      <c r="J4" s="129"/>
      <c r="K4" s="129"/>
      <c r="L4" s="129"/>
    </row>
    <row r="5" ht="20.15" customHeight="1" spans="1:12">
      <c r="A5" s="117">
        <v>2</v>
      </c>
      <c r="B5" s="130"/>
      <c r="C5" s="130"/>
      <c r="D5" s="130"/>
      <c r="E5" s="131"/>
      <c r="F5" s="117"/>
      <c r="G5" s="117"/>
      <c r="H5" s="129"/>
      <c r="I5" s="129"/>
      <c r="J5" s="129"/>
      <c r="K5" s="129"/>
      <c r="L5" s="129"/>
    </row>
    <row r="6" ht="20.15" customHeight="1" spans="1:13">
      <c r="A6" s="117">
        <v>3</v>
      </c>
      <c r="B6" s="130"/>
      <c r="C6" s="130"/>
      <c r="D6" s="130"/>
      <c r="E6" s="131"/>
      <c r="F6" s="117"/>
      <c r="G6" s="117"/>
      <c r="H6" s="129"/>
      <c r="I6" s="129"/>
      <c r="J6" s="129"/>
      <c r="K6" s="129"/>
      <c r="L6" s="129"/>
      <c r="M6" s="121"/>
    </row>
    <row r="7" ht="20.15" customHeight="1" spans="1:13">
      <c r="A7" s="117">
        <v>4</v>
      </c>
      <c r="B7" s="130"/>
      <c r="C7" s="130"/>
      <c r="D7" s="130"/>
      <c r="E7" s="131"/>
      <c r="F7" s="117"/>
      <c r="G7" s="117"/>
      <c r="H7" s="129"/>
      <c r="I7" s="129"/>
      <c r="J7" s="129"/>
      <c r="K7" s="129"/>
      <c r="L7" s="129"/>
      <c r="M7" s="121"/>
    </row>
    <row r="8" ht="20.15" customHeight="1" spans="1:12">
      <c r="A8" s="117">
        <v>5</v>
      </c>
      <c r="B8" s="130"/>
      <c r="C8" s="130"/>
      <c r="D8" s="130"/>
      <c r="E8" s="131"/>
      <c r="F8" s="117"/>
      <c r="G8" s="117"/>
      <c r="H8" s="129"/>
      <c r="I8" s="129"/>
      <c r="J8" s="129"/>
      <c r="K8" s="129"/>
      <c r="L8" s="129"/>
    </row>
    <row r="9" ht="21" customHeight="1" spans="1:7">
      <c r="A9" s="132" t="s">
        <v>9</v>
      </c>
      <c r="B9" s="133"/>
      <c r="C9" s="133"/>
      <c r="D9" s="133"/>
      <c r="E9" s="133"/>
      <c r="F9" s="133"/>
      <c r="G9" s="133"/>
    </row>
    <row r="10" ht="73" customHeight="1" spans="1:7">
      <c r="A10" s="133"/>
      <c r="B10" s="133"/>
      <c r="C10" s="133"/>
      <c r="D10" s="133"/>
      <c r="E10" s="133"/>
      <c r="F10" s="133"/>
      <c r="G10" s="133"/>
    </row>
    <row r="11" spans="13:13">
      <c r="M11" s="121"/>
    </row>
    <row r="13" spans="13:13">
      <c r="M13" s="121"/>
    </row>
    <row r="17" spans="1:6">
      <c r="A17" s="134"/>
      <c r="B17" s="134"/>
      <c r="C17" s="134"/>
      <c r="D17" s="134"/>
      <c r="E17" s="134"/>
      <c r="F17" s="126"/>
    </row>
  </sheetData>
  <mergeCells count="18">
    <mergeCell ref="A1:G1"/>
    <mergeCell ref="B3:D3"/>
    <mergeCell ref="B4:D4"/>
    <mergeCell ref="B5:D5"/>
    <mergeCell ref="B6:D6"/>
    <mergeCell ref="B7:D7"/>
    <mergeCell ref="B8:D8"/>
    <mergeCell ref="H1:H2"/>
    <mergeCell ref="H3:H8"/>
    <mergeCell ref="I1:I2"/>
    <mergeCell ref="I3:I8"/>
    <mergeCell ref="J1:J2"/>
    <mergeCell ref="J3:J8"/>
    <mergeCell ref="K1:K2"/>
    <mergeCell ref="K3:K8"/>
    <mergeCell ref="L1:L2"/>
    <mergeCell ref="L3:L8"/>
    <mergeCell ref="A9:G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2" sqref="A12"/>
    </sheetView>
  </sheetViews>
  <sheetFormatPr defaultColWidth="9" defaultRowHeight="14.25" outlineLevelCol="6"/>
  <cols>
    <col min="1" max="1" width="16.0833333333333" customWidth="1"/>
    <col min="2" max="2" width="12.5833333333333" customWidth="1"/>
    <col min="3" max="3" width="11.8333333333333" customWidth="1"/>
    <col min="5" max="5" width="12.3333333333333" customWidth="1"/>
    <col min="6" max="6" width="10.5833333333333" customWidth="1"/>
    <col min="7" max="7" width="11" customWidth="1"/>
  </cols>
  <sheetData>
    <row r="1" ht="56.15" customHeight="1" spans="1:7">
      <c r="A1" s="114" t="s">
        <v>10</v>
      </c>
      <c r="B1" s="114"/>
      <c r="C1" s="115"/>
      <c r="D1" s="115"/>
      <c r="E1" s="115"/>
      <c r="F1" s="115"/>
      <c r="G1" s="115"/>
    </row>
    <row r="2" ht="40.5" customHeight="1" spans="1:7">
      <c r="A2" s="115" t="s">
        <v>1</v>
      </c>
      <c r="B2" s="115"/>
      <c r="C2" s="115"/>
      <c r="D2" s="116" t="s">
        <v>2</v>
      </c>
      <c r="E2" s="116"/>
      <c r="F2" s="116"/>
      <c r="G2" s="116"/>
    </row>
    <row r="3" ht="63.5" customHeight="1" spans="1:7">
      <c r="A3" s="115" t="s">
        <v>5</v>
      </c>
      <c r="B3" s="115" t="s">
        <v>11</v>
      </c>
      <c r="C3" s="115" t="s">
        <v>12</v>
      </c>
      <c r="D3" s="115" t="s">
        <v>13</v>
      </c>
      <c r="E3" s="115"/>
      <c r="F3" s="116" t="s">
        <v>14</v>
      </c>
      <c r="G3" s="115" t="s">
        <v>15</v>
      </c>
    </row>
    <row r="4" ht="30" customHeight="1" spans="1:7">
      <c r="A4" s="117">
        <v>1</v>
      </c>
      <c r="B4" s="117"/>
      <c r="C4" s="117"/>
      <c r="D4" s="117"/>
      <c r="E4" s="117"/>
      <c r="F4" s="118"/>
      <c r="G4" s="117"/>
    </row>
    <row r="5" ht="30" customHeight="1" spans="1:7">
      <c r="A5" s="117">
        <v>2</v>
      </c>
      <c r="B5" s="117"/>
      <c r="C5" s="117"/>
      <c r="D5" s="117"/>
      <c r="E5" s="117"/>
      <c r="F5" s="118"/>
      <c r="G5" s="117"/>
    </row>
    <row r="6" ht="30" customHeight="1" spans="1:7">
      <c r="A6" s="117">
        <v>3</v>
      </c>
      <c r="B6" s="117"/>
      <c r="C6" s="117"/>
      <c r="D6" s="117"/>
      <c r="E6" s="117"/>
      <c r="F6" s="118"/>
      <c r="G6" s="117"/>
    </row>
    <row r="7" ht="30" customHeight="1" spans="1:7">
      <c r="A7" s="117">
        <v>4</v>
      </c>
      <c r="B7" s="117"/>
      <c r="C7" s="117"/>
      <c r="D7" s="117"/>
      <c r="E7" s="117"/>
      <c r="F7" s="118"/>
      <c r="G7" s="117"/>
    </row>
    <row r="8" ht="30" customHeight="1" spans="1:7">
      <c r="A8" s="117">
        <v>5</v>
      </c>
      <c r="B8" s="117"/>
      <c r="C8" s="117"/>
      <c r="D8" s="117"/>
      <c r="E8" s="117"/>
      <c r="F8" s="118"/>
      <c r="G8" s="117"/>
    </row>
    <row r="9" ht="42" customHeight="1" spans="1:7">
      <c r="A9" s="119">
        <v>25</v>
      </c>
      <c r="B9" s="119"/>
      <c r="C9" s="119"/>
      <c r="D9" s="119"/>
      <c r="E9" s="119"/>
      <c r="F9" s="119"/>
      <c r="G9" s="119"/>
    </row>
    <row r="10" ht="45.65" customHeight="1" spans="1:7">
      <c r="A10" s="120">
        <v>85</v>
      </c>
      <c r="B10" s="120"/>
      <c r="C10" s="120"/>
      <c r="D10" s="120"/>
      <c r="E10" s="120"/>
      <c r="F10" s="120"/>
      <c r="G10" s="120"/>
    </row>
    <row r="11" ht="40" customHeight="1" spans="1:7">
      <c r="A11" s="120">
        <v>25</v>
      </c>
      <c r="B11" s="120"/>
      <c r="C11" s="120"/>
      <c r="D11" s="120"/>
      <c r="E11" s="120"/>
      <c r="F11" s="120"/>
      <c r="G11" s="120"/>
    </row>
    <row r="12" spans="1:7">
      <c r="A12" s="120"/>
      <c r="B12" s="120"/>
      <c r="C12" s="120"/>
      <c r="D12" s="120"/>
      <c r="E12" s="120"/>
      <c r="F12" s="120"/>
      <c r="G12" s="120"/>
    </row>
    <row r="13" spans="1:7">
      <c r="A13" s="120"/>
      <c r="B13" s="120"/>
      <c r="C13" s="120"/>
      <c r="D13" s="120"/>
      <c r="E13" s="120"/>
      <c r="F13" s="120"/>
      <c r="G13" s="120"/>
    </row>
    <row r="14" spans="1:7">
      <c r="A14" s="120"/>
      <c r="B14" s="120"/>
      <c r="C14" s="120"/>
      <c r="D14" s="120"/>
      <c r="E14" s="120"/>
      <c r="F14" s="120"/>
      <c r="G14" s="120"/>
    </row>
    <row r="15" spans="1:7">
      <c r="A15" s="120"/>
      <c r="B15" s="120"/>
      <c r="C15" s="120"/>
      <c r="D15" s="120"/>
      <c r="E15" s="120"/>
      <c r="F15" s="120"/>
      <c r="G15" s="120"/>
    </row>
    <row r="16" spans="1:7">
      <c r="A16" s="120"/>
      <c r="B16" s="120"/>
      <c r="C16" s="120"/>
      <c r="D16" s="120"/>
      <c r="E16" s="120"/>
      <c r="F16" s="120"/>
      <c r="G16" s="120"/>
    </row>
    <row r="17" spans="1:7">
      <c r="A17" s="120"/>
      <c r="B17" s="120"/>
      <c r="C17" s="120"/>
      <c r="D17" s="120"/>
      <c r="E17" s="120"/>
      <c r="F17" s="120"/>
      <c r="G17" s="120"/>
    </row>
    <row r="18" spans="1:7">
      <c r="A18" s="120"/>
      <c r="B18" s="120"/>
      <c r="C18" s="120"/>
      <c r="D18" s="120"/>
      <c r="E18" s="120"/>
      <c r="F18" s="120"/>
      <c r="G18" s="120"/>
    </row>
    <row r="19" spans="1:7">
      <c r="A19" s="120"/>
      <c r="B19" s="120"/>
      <c r="C19" s="120"/>
      <c r="D19" s="120"/>
      <c r="E19" s="120"/>
      <c r="F19" s="120"/>
      <c r="G19" s="120"/>
    </row>
    <row r="20" spans="1:7">
      <c r="A20" s="120"/>
      <c r="B20" s="120"/>
      <c r="C20" s="120"/>
      <c r="D20" s="120"/>
      <c r="E20" s="120"/>
      <c r="F20" s="120"/>
      <c r="G20" s="120"/>
    </row>
  </sheetData>
  <mergeCells count="9">
    <mergeCell ref="A1:G1"/>
    <mergeCell ref="B2:C2"/>
    <mergeCell ref="E2:G2"/>
    <mergeCell ref="D3:E3"/>
    <mergeCell ref="D4:E4"/>
    <mergeCell ref="D5:E5"/>
    <mergeCell ref="D6:E6"/>
    <mergeCell ref="D7:E7"/>
    <mergeCell ref="D8:E8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42"/>
  <sheetViews>
    <sheetView tabSelected="1" workbookViewId="0">
      <selection activeCell="D4" sqref="D4:E8"/>
    </sheetView>
  </sheetViews>
  <sheetFormatPr defaultColWidth="8.25" defaultRowHeight="14.25"/>
  <cols>
    <col min="1" max="1" width="5.5" style="91" customWidth="1"/>
    <col min="2" max="2" width="13.75" style="91" customWidth="1"/>
    <col min="3" max="3" width="14.0833333333333" style="91" customWidth="1"/>
    <col min="4" max="5" width="9.08333333333333" style="92" customWidth="1"/>
    <col min="6" max="6" width="9.58333333333333" style="91" customWidth="1"/>
    <col min="7" max="7" width="10.5" style="91" customWidth="1"/>
    <col min="8" max="8" width="11.5833333333333" style="91" customWidth="1"/>
    <col min="9" max="9" width="11.125" style="91" customWidth="1"/>
    <col min="10" max="10" width="10.25" style="91" customWidth="1"/>
    <col min="11" max="12" width="9.58333333333333" style="91" customWidth="1"/>
    <col min="13" max="13" width="11.5833333333333" style="91" customWidth="1"/>
    <col min="14" max="16" width="9.58333333333333" style="91" customWidth="1"/>
    <col min="17" max="17" width="10.5" style="91" customWidth="1"/>
    <col min="18" max="18" width="11.5833333333333" style="91" customWidth="1"/>
    <col min="19" max="22" width="9.58333333333333" style="91" customWidth="1"/>
    <col min="23" max="23" width="11.5833333333333" style="91" customWidth="1"/>
    <col min="24" max="26" width="9.58333333333333" style="91" customWidth="1"/>
    <col min="27" max="27" width="10.5" style="91" customWidth="1"/>
    <col min="28" max="28" width="11.5833333333333" style="91" customWidth="1"/>
    <col min="29" max="29" width="9.58333333333333" style="91" customWidth="1"/>
    <col min="30" max="30" width="10.875" style="91" customWidth="1"/>
    <col min="31" max="32" width="9.58333333333333" style="91" customWidth="1"/>
    <col min="33" max="33" width="11.5833333333333" style="91" customWidth="1"/>
    <col min="34" max="35" width="9.58333333333333" style="91" customWidth="1"/>
    <col min="36" max="37" width="8.08333333333333" style="91" customWidth="1"/>
    <col min="38" max="38" width="9.58333333333333" style="91" customWidth="1"/>
    <col min="39" max="43" width="8.33333333333333" style="91" customWidth="1"/>
    <col min="44" max="44" width="10.0833333333333" style="91" customWidth="1"/>
    <col min="45" max="45" width="7.08333333333333" style="91" customWidth="1"/>
    <col min="46" max="46" width="8.25" style="91"/>
    <col min="47" max="47" width="3.83333333333333" style="91" customWidth="1"/>
    <col min="48" max="49" width="9.58333333333333" style="91" customWidth="1"/>
    <col min="50" max="50" width="18.5" style="91" customWidth="1"/>
    <col min="51" max="16384" width="8.25" style="91"/>
  </cols>
  <sheetData>
    <row r="1" s="89" customFormat="1" spans="1:70">
      <c r="A1" s="93" t="s">
        <v>16</v>
      </c>
      <c r="B1" s="94" t="s">
        <v>17</v>
      </c>
      <c r="C1" s="93" t="s">
        <v>18</v>
      </c>
      <c r="D1" s="95" t="s">
        <v>19</v>
      </c>
      <c r="E1" s="95" t="s">
        <v>20</v>
      </c>
      <c r="F1" s="96" t="s">
        <v>21</v>
      </c>
      <c r="G1" s="96"/>
      <c r="H1" s="96"/>
      <c r="I1" s="96"/>
      <c r="J1" s="96"/>
      <c r="K1" s="96"/>
      <c r="L1" s="96"/>
      <c r="M1" s="108" t="s">
        <v>22</v>
      </c>
      <c r="N1" s="108"/>
      <c r="O1" s="108"/>
      <c r="P1" s="108"/>
      <c r="Q1" s="108"/>
      <c r="R1" s="108"/>
      <c r="S1" s="108"/>
      <c r="T1" s="96" t="s">
        <v>21</v>
      </c>
      <c r="U1" s="96"/>
      <c r="V1" s="96"/>
      <c r="W1" s="96"/>
      <c r="X1" s="96"/>
      <c r="Y1" s="96"/>
      <c r="Z1" s="96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</row>
    <row r="2" s="89" customFormat="1" spans="1:70">
      <c r="A2" s="93"/>
      <c r="B2" s="97"/>
      <c r="C2" s="93"/>
      <c r="D2" s="93"/>
      <c r="E2" s="93"/>
      <c r="F2" s="98">
        <f>AL4</f>
        <v>0</v>
      </c>
      <c r="G2" s="98"/>
      <c r="H2" s="99">
        <f>AM4</f>
        <v>5</v>
      </c>
      <c r="I2" s="98">
        <f>AN4</f>
        <v>10</v>
      </c>
      <c r="J2" s="99">
        <f>H2</f>
        <v>5</v>
      </c>
      <c r="K2" s="98">
        <f>F2</f>
        <v>0</v>
      </c>
      <c r="L2" s="98"/>
      <c r="M2" s="98">
        <f t="shared" ref="M2:R2" si="0">F2</f>
        <v>0</v>
      </c>
      <c r="N2" s="98"/>
      <c r="O2" s="99">
        <f t="shared" si="0"/>
        <v>5</v>
      </c>
      <c r="P2" s="98">
        <f t="shared" si="0"/>
        <v>10</v>
      </c>
      <c r="Q2" s="99">
        <f t="shared" si="0"/>
        <v>5</v>
      </c>
      <c r="R2" s="98">
        <f t="shared" si="0"/>
        <v>0</v>
      </c>
      <c r="S2" s="98"/>
      <c r="T2" s="98">
        <f t="shared" ref="T2:Y2" si="1">M2</f>
        <v>0</v>
      </c>
      <c r="U2" s="98"/>
      <c r="V2" s="99">
        <f t="shared" si="1"/>
        <v>5</v>
      </c>
      <c r="W2" s="98">
        <f t="shared" si="1"/>
        <v>10</v>
      </c>
      <c r="X2" s="99">
        <f t="shared" si="1"/>
        <v>5</v>
      </c>
      <c r="Y2" s="98">
        <f t="shared" si="1"/>
        <v>0</v>
      </c>
      <c r="Z2" s="98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</row>
    <row r="3" s="89" customFormat="1" spans="1:50">
      <c r="A3" s="100"/>
      <c r="B3" s="97"/>
      <c r="C3" s="94"/>
      <c r="D3" s="94"/>
      <c r="E3" s="94"/>
      <c r="F3" s="94" t="s">
        <v>23</v>
      </c>
      <c r="G3" s="94" t="s">
        <v>24</v>
      </c>
      <c r="H3" s="94" t="s">
        <v>25</v>
      </c>
      <c r="I3" s="94" t="s">
        <v>26</v>
      </c>
      <c r="J3" s="94" t="s">
        <v>25</v>
      </c>
      <c r="K3" s="94" t="s">
        <v>27</v>
      </c>
      <c r="L3" s="94" t="s">
        <v>28</v>
      </c>
      <c r="M3" s="94" t="s">
        <v>23</v>
      </c>
      <c r="N3" s="94" t="s">
        <v>24</v>
      </c>
      <c r="O3" s="94" t="s">
        <v>25</v>
      </c>
      <c r="P3" s="94" t="s">
        <v>26</v>
      </c>
      <c r="Q3" s="94" t="s">
        <v>25</v>
      </c>
      <c r="R3" s="94" t="s">
        <v>27</v>
      </c>
      <c r="S3" s="94" t="s">
        <v>28</v>
      </c>
      <c r="T3" s="94" t="s">
        <v>23</v>
      </c>
      <c r="U3" s="94" t="s">
        <v>24</v>
      </c>
      <c r="V3" s="94" t="s">
        <v>25</v>
      </c>
      <c r="W3" s="94" t="s">
        <v>26</v>
      </c>
      <c r="X3" s="94" t="s">
        <v>25</v>
      </c>
      <c r="Y3" s="94" t="s">
        <v>27</v>
      </c>
      <c r="Z3" s="94" t="s">
        <v>28</v>
      </c>
      <c r="AA3" s="109" t="s">
        <v>29</v>
      </c>
      <c r="AB3" s="109" t="s">
        <v>30</v>
      </c>
      <c r="AC3" s="110" t="s">
        <v>31</v>
      </c>
      <c r="AD3" s="109" t="s">
        <v>32</v>
      </c>
      <c r="AE3" s="109" t="s">
        <v>33</v>
      </c>
      <c r="AF3" s="109" t="s">
        <v>34</v>
      </c>
      <c r="AG3" s="109" t="s">
        <v>35</v>
      </c>
      <c r="AH3" s="109" t="s">
        <v>36</v>
      </c>
      <c r="AI3" s="109" t="s">
        <v>37</v>
      </c>
      <c r="AJ3" s="109" t="s">
        <v>38</v>
      </c>
      <c r="AK3" s="91"/>
      <c r="AL3" s="91" t="s">
        <v>39</v>
      </c>
      <c r="AM3" s="91" t="s">
        <v>40</v>
      </c>
      <c r="AN3" s="91" t="s">
        <v>41</v>
      </c>
      <c r="AO3" s="91" t="s">
        <v>42</v>
      </c>
      <c r="AP3" s="91"/>
      <c r="AQ3" s="91"/>
      <c r="AR3" s="91"/>
      <c r="AS3" s="91"/>
      <c r="AT3" s="91"/>
      <c r="AU3" s="91"/>
      <c r="AV3" s="91"/>
      <c r="AW3" s="91"/>
      <c r="AX3" s="91"/>
    </row>
    <row r="4" s="90" customFormat="1" spans="1:41">
      <c r="A4" s="101">
        <v>1</v>
      </c>
      <c r="B4" s="101" t="s">
        <v>43</v>
      </c>
      <c r="C4" s="102" t="s">
        <v>44</v>
      </c>
      <c r="D4" s="103">
        <v>1</v>
      </c>
      <c r="E4" s="103">
        <v>13</v>
      </c>
      <c r="F4" s="104">
        <v>6178.24346</v>
      </c>
      <c r="G4" s="104">
        <v>3.675856</v>
      </c>
      <c r="H4" s="104">
        <v>37.495881</v>
      </c>
      <c r="I4" s="104">
        <v>71.236426</v>
      </c>
      <c r="J4" s="104">
        <v>37.494751</v>
      </c>
      <c r="K4" s="104">
        <v>3.676779</v>
      </c>
      <c r="L4" s="104">
        <v>25</v>
      </c>
      <c r="M4" s="104">
        <v>6491.30259</v>
      </c>
      <c r="N4" s="104">
        <v>3.807314</v>
      </c>
      <c r="O4" s="104">
        <v>33.772852</v>
      </c>
      <c r="P4" s="104">
        <v>63.710184</v>
      </c>
      <c r="Q4" s="104">
        <v>33.772644</v>
      </c>
      <c r="R4" s="104">
        <v>3.806245</v>
      </c>
      <c r="S4" s="104">
        <v>85</v>
      </c>
      <c r="T4" s="104">
        <v>6179.23882</v>
      </c>
      <c r="U4" s="104">
        <v>3.666444</v>
      </c>
      <c r="V4" s="104">
        <v>37.476025</v>
      </c>
      <c r="W4" s="104">
        <v>71.191515</v>
      </c>
      <c r="X4" s="104">
        <v>37.466584</v>
      </c>
      <c r="Y4" s="104">
        <v>3.667613</v>
      </c>
      <c r="Z4" s="111">
        <v>25</v>
      </c>
      <c r="AA4" s="112">
        <f>I4-AB4</f>
        <v>3.676779</v>
      </c>
      <c r="AB4" s="112">
        <f>(I4-K4)/(AN4-AL4)*AN4</f>
        <v>67.559647</v>
      </c>
      <c r="AC4" s="112">
        <f>(X4-((W4-Y4)/(AN4-AL4)*(AM4-AL4)+Y4))*100/(W4-Y4)</f>
        <v>0.0548250306980161</v>
      </c>
      <c r="AD4" s="112">
        <f>(R4-Y4)/(S4-Z4)*100/(W4-Y4)</f>
        <v>0.00342180067338724</v>
      </c>
      <c r="AE4" s="112">
        <f>((P4-R4)-(W4-Y4))/(S4-Z4)*100/(W4-Y4)</f>
        <v>-0.188080634518623</v>
      </c>
      <c r="AF4" s="112">
        <f>((M4-T4)/(S4-Z4))*100/(T4)</f>
        <v>0.0841699598419688</v>
      </c>
      <c r="AG4" s="112">
        <f>(Y4-K4)*100/(W4-Y4)</f>
        <v>-0.0135744524953549</v>
      </c>
      <c r="AH4" s="112">
        <f>((W4-Y4)-(I4-K4))*100/(W4-Y4)</f>
        <v>-0.0529368104349267</v>
      </c>
      <c r="AI4" s="112">
        <f>(Y4-U4)*100/(W4-Y4)</f>
        <v>0.00173123881377586</v>
      </c>
      <c r="AJ4" s="113"/>
      <c r="AK4" s="113"/>
      <c r="AL4" s="113">
        <v>0</v>
      </c>
      <c r="AM4" s="113">
        <f>(AN4+AL4)/2</f>
        <v>5</v>
      </c>
      <c r="AN4" s="113">
        <v>10</v>
      </c>
      <c r="AO4" s="90" t="s">
        <v>45</v>
      </c>
    </row>
    <row r="5" s="90" customFormat="1" spans="1:40">
      <c r="A5" s="101">
        <v>2</v>
      </c>
      <c r="B5" s="101" t="s">
        <v>46</v>
      </c>
      <c r="C5" s="105"/>
      <c r="D5" s="103">
        <v>-1</v>
      </c>
      <c r="E5" s="103">
        <v>0</v>
      </c>
      <c r="F5" s="104">
        <v>6126.59913</v>
      </c>
      <c r="G5" s="104">
        <v>0.437732</v>
      </c>
      <c r="H5" s="104">
        <v>39.168074</v>
      </c>
      <c r="I5" s="104">
        <v>77.717979</v>
      </c>
      <c r="J5" s="104">
        <v>39.16449</v>
      </c>
      <c r="K5" s="104">
        <v>0.43683</v>
      </c>
      <c r="L5" s="104">
        <v>25</v>
      </c>
      <c r="M5" s="104">
        <v>6437.51281</v>
      </c>
      <c r="N5" s="104">
        <v>0.542056</v>
      </c>
      <c r="O5" s="104">
        <v>34.884466</v>
      </c>
      <c r="P5" s="104">
        <v>69.130556</v>
      </c>
      <c r="Q5" s="104">
        <v>34.884608</v>
      </c>
      <c r="R5" s="104">
        <v>0.538627</v>
      </c>
      <c r="S5" s="104">
        <v>85</v>
      </c>
      <c r="T5" s="104">
        <v>6127.57978</v>
      </c>
      <c r="U5" s="104">
        <v>0.437596</v>
      </c>
      <c r="V5" s="104">
        <v>39.146462</v>
      </c>
      <c r="W5" s="104">
        <v>77.672738</v>
      </c>
      <c r="X5" s="104">
        <v>39.14255</v>
      </c>
      <c r="Y5" s="104">
        <v>0.437769</v>
      </c>
      <c r="Z5" s="111">
        <v>25</v>
      </c>
      <c r="AA5" s="112">
        <f>I5-AB5</f>
        <v>0.43683</v>
      </c>
      <c r="AB5" s="112">
        <f>(I5-K5)/(AN5-AL5)*AN5</f>
        <v>77.281149</v>
      </c>
      <c r="AC5" s="112">
        <f>(X5-((W5-Y5)/(AN5-AL5)*(AM5-AL5)+Y5))*100/(W5-Y5)</f>
        <v>0.113027170374084</v>
      </c>
      <c r="AD5" s="112">
        <f>(R5-Y5)/(S5-Z5)*100/(W5-Y5)</f>
        <v>0.00217643211155645</v>
      </c>
      <c r="AE5" s="112">
        <f>((P5-R5)-(W5-Y5))/(S5-Z5)*100/(W5-Y5)</f>
        <v>-0.186509645218692</v>
      </c>
      <c r="AF5" s="112">
        <f>((M5-T5)/(S5-Z5))*100/(T5)</f>
        <v>0.0843000121656515</v>
      </c>
      <c r="AG5" s="112">
        <f>(Y5-K5)*100/(W5-Y5)</f>
        <v>0.00121577054041418</v>
      </c>
      <c r="AH5" s="112">
        <f>((W5-Y5)-(I5-K5))*100/(W5-Y5)</f>
        <v>-0.0597915692825704</v>
      </c>
      <c r="AI5" s="112">
        <f>(Y5-U5)*100/(W5-Y5)</f>
        <v>0.000223991803505526</v>
      </c>
      <c r="AJ5" s="113"/>
      <c r="AK5" s="113"/>
      <c r="AL5" s="113">
        <v>0</v>
      </c>
      <c r="AM5" s="113">
        <f>(AN5+AL5)/2</f>
        <v>5</v>
      </c>
      <c r="AN5" s="113">
        <v>10</v>
      </c>
    </row>
    <row r="6" s="90" customFormat="1" spans="1:40">
      <c r="A6" s="101">
        <v>3</v>
      </c>
      <c r="B6" s="101" t="s">
        <v>47</v>
      </c>
      <c r="C6" s="105"/>
      <c r="D6" s="103">
        <v>1</v>
      </c>
      <c r="E6" s="103">
        <v>-12</v>
      </c>
      <c r="F6" s="104">
        <v>6164.73026</v>
      </c>
      <c r="G6" s="104">
        <v>-0.433645</v>
      </c>
      <c r="H6" s="104">
        <v>40.47156</v>
      </c>
      <c r="I6" s="104">
        <v>81.012318</v>
      </c>
      <c r="J6" s="104">
        <v>40.470858</v>
      </c>
      <c r="K6" s="104">
        <v>-0.433702</v>
      </c>
      <c r="L6" s="104">
        <v>25</v>
      </c>
      <c r="M6" s="104">
        <v>6478.4546</v>
      </c>
      <c r="N6" s="104">
        <v>-0.095786</v>
      </c>
      <c r="O6" s="104">
        <v>36.125842</v>
      </c>
      <c r="P6" s="104">
        <v>72.090103</v>
      </c>
      <c r="Q6" s="104">
        <v>36.126591</v>
      </c>
      <c r="R6" s="104">
        <v>-0.098831</v>
      </c>
      <c r="S6" s="104">
        <v>85</v>
      </c>
      <c r="T6" s="104">
        <v>6165.67388</v>
      </c>
      <c r="U6" s="104">
        <v>-0.451283</v>
      </c>
      <c r="V6" s="104">
        <v>40.440528</v>
      </c>
      <c r="W6" s="104">
        <v>80.960538</v>
      </c>
      <c r="X6" s="104">
        <v>40.435455</v>
      </c>
      <c r="Y6" s="104">
        <v>-0.447756</v>
      </c>
      <c r="Z6" s="111">
        <v>25</v>
      </c>
      <c r="AA6" s="112">
        <f>I6-AB6</f>
        <v>-0.433701999999997</v>
      </c>
      <c r="AB6" s="112">
        <f>(I6-K6)/(AN6-AL6)*AN6</f>
        <v>81.44602</v>
      </c>
      <c r="AC6" s="112">
        <f>(X6-((W6-Y6)/(AN6-AL6)*(AM6-AL6)+Y6))*100/(W6-Y6)</f>
        <v>0.219957932050507</v>
      </c>
      <c r="AD6" s="112">
        <f>(R6-Y6)/(S6-Z6)*100/(W6-Y6)</f>
        <v>0.00714351865261624</v>
      </c>
      <c r="AE6" s="112">
        <f>((P6-R6)-(W6-Y6))/(S6-Z6)*100/(W6-Y6)</f>
        <v>-0.188747352941704</v>
      </c>
      <c r="AF6" s="112">
        <f>((M6-T6)/(S6-Z6))*100/(T6)</f>
        <v>0.0845489414694764</v>
      </c>
      <c r="AG6" s="112">
        <f>(Y6-K6)*100/(W6-Y6)</f>
        <v>-0.0172635972447721</v>
      </c>
      <c r="AH6" s="112">
        <f>((W6-Y6)-(I6-K6))*100/(W6-Y6)</f>
        <v>-0.0463417155013618</v>
      </c>
      <c r="AI6" s="112">
        <f>(Y6-U6)*100/(W6-Y6)</f>
        <v>0.00433248238809672</v>
      </c>
      <c r="AJ6" s="113"/>
      <c r="AK6" s="113"/>
      <c r="AL6" s="113">
        <v>0</v>
      </c>
      <c r="AM6" s="113">
        <f>(AN6+AL6)/2</f>
        <v>5</v>
      </c>
      <c r="AN6" s="113">
        <v>10</v>
      </c>
    </row>
    <row r="7" s="90" customFormat="1" spans="1:40">
      <c r="A7" s="101">
        <v>4</v>
      </c>
      <c r="B7" s="101" t="s">
        <v>48</v>
      </c>
      <c r="C7" s="105"/>
      <c r="D7" s="103">
        <v>-13</v>
      </c>
      <c r="E7" s="103">
        <v>1</v>
      </c>
      <c r="F7" s="104">
        <v>6149.95404</v>
      </c>
      <c r="G7" s="104">
        <v>1.674256</v>
      </c>
      <c r="H7" s="104">
        <v>41.694364</v>
      </c>
      <c r="I7" s="104">
        <v>81.434572</v>
      </c>
      <c r="J7" s="104">
        <v>41.686556</v>
      </c>
      <c r="K7" s="104">
        <v>1.678611</v>
      </c>
      <c r="L7" s="104">
        <v>25</v>
      </c>
      <c r="M7" s="104">
        <v>6462.48324</v>
      </c>
      <c r="N7" s="104">
        <v>1.729978</v>
      </c>
      <c r="O7" s="104">
        <v>37.209022</v>
      </c>
      <c r="P7" s="104">
        <v>72.509631</v>
      </c>
      <c r="Q7" s="104">
        <v>37.210639</v>
      </c>
      <c r="R7" s="104">
        <v>1.7316</v>
      </c>
      <c r="S7" s="104">
        <v>85</v>
      </c>
      <c r="T7" s="104">
        <v>6150.95345</v>
      </c>
      <c r="U7" s="104">
        <v>1.671231</v>
      </c>
      <c r="V7" s="104">
        <v>41.613783</v>
      </c>
      <c r="W7" s="104">
        <v>81.386986</v>
      </c>
      <c r="X7" s="104">
        <v>41.667324</v>
      </c>
      <c r="Y7" s="104">
        <v>1.673447</v>
      </c>
      <c r="Z7" s="111">
        <v>25</v>
      </c>
      <c r="AA7" s="112">
        <f>I7-AB7</f>
        <v>1.678611</v>
      </c>
      <c r="AB7" s="112">
        <f>(I7-K7)/(AN7-AL7)*AN7</f>
        <v>79.755961</v>
      </c>
      <c r="AC7" s="112">
        <f>(X7-((W7-Y7)/(AN7-AL7)*(AM7-AL7)+Y7))*100/(W7-Y7)</f>
        <v>0.172000267106444</v>
      </c>
      <c r="AD7" s="112">
        <f>(R7-Y7)/(S7-Z7)*100/(W7-Y7)</f>
        <v>0.00121587459147519</v>
      </c>
      <c r="AE7" s="112">
        <f>((P7-R7)-(W7-Y7))/(S7-Z7)*100/(W7-Y7)</f>
        <v>-0.186825394031663</v>
      </c>
      <c r="AF7" s="112">
        <f>((M7-T7)/(S7-Z7))*100/(T7)</f>
        <v>0.0844123306878003</v>
      </c>
      <c r="AG7" s="112">
        <f>(Y7-K7)*100/(W7-Y7)</f>
        <v>-0.00647819688447174</v>
      </c>
      <c r="AH7" s="112">
        <f>((W7-Y7)-(I7-K7))*100/(W7-Y7)</f>
        <v>-0.0532180612380062</v>
      </c>
      <c r="AI7" s="112">
        <f>(Y7-U7)*100/(W7-Y7)</f>
        <v>0.00277995435631078</v>
      </c>
      <c r="AJ7" s="113"/>
      <c r="AK7" s="113"/>
      <c r="AL7" s="113">
        <v>0</v>
      </c>
      <c r="AM7" s="113">
        <f>(AN7+AL7)/2</f>
        <v>5</v>
      </c>
      <c r="AN7" s="113">
        <v>10</v>
      </c>
    </row>
    <row r="8" s="90" customFormat="1" spans="1:40">
      <c r="A8" s="101">
        <v>5</v>
      </c>
      <c r="B8" s="101" t="s">
        <v>49</v>
      </c>
      <c r="C8" s="106"/>
      <c r="D8" s="103">
        <v>13</v>
      </c>
      <c r="E8" s="103">
        <v>1</v>
      </c>
      <c r="F8" s="104">
        <v>6187.07011</v>
      </c>
      <c r="G8" s="104">
        <v>-0.195958</v>
      </c>
      <c r="H8" s="104">
        <v>40.395385</v>
      </c>
      <c r="I8" s="104">
        <v>80.662134</v>
      </c>
      <c r="J8" s="104">
        <v>40.389373</v>
      </c>
      <c r="K8" s="104">
        <v>-0.201295</v>
      </c>
      <c r="L8" s="104">
        <v>25</v>
      </c>
      <c r="M8" s="104">
        <v>6502.70793</v>
      </c>
      <c r="N8" s="104">
        <v>0.008255</v>
      </c>
      <c r="O8" s="104">
        <v>35.978444</v>
      </c>
      <c r="P8" s="104">
        <v>71.720143</v>
      </c>
      <c r="Q8" s="104">
        <v>35.977708</v>
      </c>
      <c r="R8" s="104">
        <v>0.011006</v>
      </c>
      <c r="S8" s="104">
        <v>85</v>
      </c>
      <c r="T8" s="104">
        <v>6188.05543</v>
      </c>
      <c r="U8" s="104">
        <v>-0.201304</v>
      </c>
      <c r="V8" s="104">
        <v>40.3344</v>
      </c>
      <c r="W8" s="104">
        <v>80.62389</v>
      </c>
      <c r="X8" s="104">
        <v>40.372694</v>
      </c>
      <c r="Y8" s="104">
        <v>-0.202461</v>
      </c>
      <c r="Z8" s="111">
        <v>25</v>
      </c>
      <c r="AA8" s="112">
        <f>I8-AB8</f>
        <v>-0.201295000000002</v>
      </c>
      <c r="AB8" s="112">
        <f>(I8-K8)/(AN8-AL8)*AN8</f>
        <v>80.863429</v>
      </c>
      <c r="AC8" s="112">
        <f>(X8-((W8-Y8)/(AN8-AL8)*(AM8-AL8)+Y8))*100/(W8-Y8)</f>
        <v>0.200404321110567</v>
      </c>
      <c r="AD8" s="112">
        <f>(R8-Y8)/(S8-Z8)*100/(W8-Y8)</f>
        <v>0.00440176166474883</v>
      </c>
      <c r="AE8" s="112">
        <f>((P8-R8)-(W8-Y8))/(S8-Z8)*100/(W8-Y8)</f>
        <v>-0.188000033141007</v>
      </c>
      <c r="AF8" s="112">
        <f>((M8-T8)/(S8-Z8))*100/(T8)</f>
        <v>0.0847472746916445</v>
      </c>
      <c r="AG8" s="112">
        <f>(Y8-K8)*100/(W8-Y8)</f>
        <v>-0.00144259883759939</v>
      </c>
      <c r="AH8" s="112">
        <f>((W8-Y8)-(I8-K8))*100/(W8-Y8)</f>
        <v>-0.0458736532594351</v>
      </c>
      <c r="AI8" s="112">
        <f>(Y8-U8)*100/(W8-Y8)</f>
        <v>-0.00143146385514792</v>
      </c>
      <c r="AJ8" s="113"/>
      <c r="AK8" s="113"/>
      <c r="AL8" s="113">
        <v>0</v>
      </c>
      <c r="AM8" s="113">
        <f>(AN8+AL8)/2</f>
        <v>5</v>
      </c>
      <c r="AN8" s="113">
        <v>10</v>
      </c>
    </row>
    <row r="9" s="89" customFormat="1" spans="2:2">
      <c r="B9" s="107"/>
    </row>
    <row r="10" s="89" customFormat="1" spans="2:2">
      <c r="B10" s="107"/>
    </row>
    <row r="11" s="89" customFormat="1" spans="2:2">
      <c r="B11" s="107"/>
    </row>
    <row r="12" s="89" customFormat="1" spans="2:2">
      <c r="B12" s="107"/>
    </row>
    <row r="13" s="89" customFormat="1" spans="2:2">
      <c r="B13" s="107"/>
    </row>
    <row r="14" s="89" customFormat="1" spans="2:2">
      <c r="B14" s="107"/>
    </row>
    <row r="15" s="89" customFormat="1" spans="2:2">
      <c r="B15" s="107"/>
    </row>
    <row r="16" s="89" customFormat="1" spans="2:2">
      <c r="B16" s="107"/>
    </row>
    <row r="17" s="89" customFormat="1" spans="2:2">
      <c r="B17" s="107"/>
    </row>
    <row r="18" s="89" customFormat="1" spans="2:2">
      <c r="B18" s="107"/>
    </row>
    <row r="19" s="89" customFormat="1" spans="2:2">
      <c r="B19" s="107"/>
    </row>
    <row r="20" s="89" customFormat="1" spans="2:2">
      <c r="B20" s="107"/>
    </row>
    <row r="21" s="89" customFormat="1" spans="2:2">
      <c r="B21" s="107"/>
    </row>
    <row r="22" s="89" customFormat="1" spans="2:2">
      <c r="B22" s="107"/>
    </row>
    <row r="23" s="89" customFormat="1" spans="2:2">
      <c r="B23" s="107"/>
    </row>
    <row r="24" s="89" customFormat="1" spans="2:2">
      <c r="B24" s="107"/>
    </row>
    <row r="25" s="89" customFormat="1" spans="2:2">
      <c r="B25" s="107"/>
    </row>
    <row r="26" s="89" customFormat="1" spans="2:2">
      <c r="B26" s="107"/>
    </row>
    <row r="27" s="89" customFormat="1" spans="2:2">
      <c r="B27" s="107"/>
    </row>
    <row r="28" s="89" customFormat="1" spans="2:2">
      <c r="B28" s="107"/>
    </row>
    <row r="29" s="89" customFormat="1" spans="2:2">
      <c r="B29" s="107"/>
    </row>
    <row r="30" s="89" customFormat="1" spans="2:2">
      <c r="B30" s="107"/>
    </row>
    <row r="31" s="89" customFormat="1" spans="2:2">
      <c r="B31" s="107"/>
    </row>
    <row r="32" s="89" customFormat="1" spans="2:2">
      <c r="B32" s="107"/>
    </row>
    <row r="33" s="89" customFormat="1" spans="2:2">
      <c r="B33" s="107"/>
    </row>
    <row r="34" s="89" customFormat="1" spans="2:2">
      <c r="B34" s="107"/>
    </row>
    <row r="35" s="89" customFormat="1" spans="2:2">
      <c r="B35" s="107"/>
    </row>
    <row r="36" s="89" customFormat="1" spans="2:2">
      <c r="B36" s="107"/>
    </row>
    <row r="37" s="89" customFormat="1" spans="2:2">
      <c r="B37" s="107"/>
    </row>
    <row r="38" s="89" customFormat="1" spans="2:2">
      <c r="B38" s="107"/>
    </row>
    <row r="39" s="89" customFormat="1" spans="2:2">
      <c r="B39" s="107"/>
    </row>
    <row r="40" s="89" customFormat="1" spans="2:2">
      <c r="B40" s="107"/>
    </row>
    <row r="41" s="89" customFormat="1" spans="2:2">
      <c r="B41" s="107"/>
    </row>
    <row r="42" s="89" customFormat="1" spans="2:2">
      <c r="B42" s="107"/>
    </row>
  </sheetData>
  <mergeCells count="15">
    <mergeCell ref="F1:L1"/>
    <mergeCell ref="M1:S1"/>
    <mergeCell ref="T1:Z1"/>
    <mergeCell ref="F2:G2"/>
    <mergeCell ref="K2:L2"/>
    <mergeCell ref="M2:N2"/>
    <mergeCell ref="R2:S2"/>
    <mergeCell ref="T2:U2"/>
    <mergeCell ref="Y2:Z2"/>
    <mergeCell ref="A1:A3"/>
    <mergeCell ref="B1:B3"/>
    <mergeCell ref="C1:C3"/>
    <mergeCell ref="C4:C8"/>
    <mergeCell ref="D1:D3"/>
    <mergeCell ref="E1:E3"/>
  </mergeCells>
  <conditionalFormatting sqref="AA3">
    <cfRule type="cellIs" dxfId="0" priority="350" operator="notBetween">
      <formula>-25</formula>
      <formula>25</formula>
    </cfRule>
  </conditionalFormatting>
  <conditionalFormatting sqref="AB3">
    <cfRule type="cellIs" dxfId="0" priority="349" operator="notBetween">
      <formula>60</formula>
      <formula>140</formula>
    </cfRule>
  </conditionalFormatting>
  <conditionalFormatting sqref="AD3">
    <cfRule type="cellIs" dxfId="0" priority="348" operator="notBetween">
      <formula>-0.05</formula>
      <formula>0.05</formula>
    </cfRule>
  </conditionalFormatting>
  <conditionalFormatting sqref="AE3">
    <cfRule type="cellIs" dxfId="0" priority="347" operator="notBetween">
      <formula>-0.21</formula>
      <formula>-0.17</formula>
    </cfRule>
  </conditionalFormatting>
  <conditionalFormatting sqref="AF3">
    <cfRule type="cellIs" dxfId="0" priority="346" operator="notBetween">
      <formula>0.07</formula>
      <formula>0.11</formula>
    </cfRule>
  </conditionalFormatting>
  <conditionalFormatting sqref="AG3:AI3">
    <cfRule type="cellIs" dxfId="0" priority="345" operator="notBetween">
      <formula>-0.3</formula>
      <formula>0.3</formula>
    </cfRule>
  </conditionalFormatting>
  <conditionalFormatting sqref="D4:E4">
    <cfRule type="containsErrors" dxfId="1" priority="5">
      <formula>ISERROR(D4)</formula>
    </cfRule>
  </conditionalFormatting>
  <conditionalFormatting sqref="AA4">
    <cfRule type="cellIs" dxfId="0" priority="125" operator="notBetween">
      <formula>-25</formula>
      <formula>25</formula>
    </cfRule>
  </conditionalFormatting>
  <conditionalFormatting sqref="AG4">
    <cfRule type="cellIs" dxfId="0" priority="92" operator="notBetween">
      <formula>-0.3</formula>
      <formula>0.3</formula>
    </cfRule>
  </conditionalFormatting>
  <conditionalFormatting sqref="AH4">
    <cfRule type="cellIs" dxfId="0" priority="77" operator="notBetween">
      <formula>-0.3</formula>
      <formula>0.3</formula>
    </cfRule>
  </conditionalFormatting>
  <conditionalFormatting sqref="AI4">
    <cfRule type="cellIs" dxfId="0" priority="62" operator="notBetween">
      <formula>-0.3</formula>
      <formula>0.3</formula>
    </cfRule>
  </conditionalFormatting>
  <conditionalFormatting sqref="D5:E5">
    <cfRule type="containsErrors" dxfId="1" priority="4">
      <formula>ISERROR(D5)</formula>
    </cfRule>
  </conditionalFormatting>
  <conditionalFormatting sqref="AA5">
    <cfRule type="cellIs" dxfId="0" priority="124" operator="notBetween">
      <formula>-25</formula>
      <formula>25</formula>
    </cfRule>
  </conditionalFormatting>
  <conditionalFormatting sqref="AH5">
    <cfRule type="cellIs" dxfId="0" priority="76" operator="notBetween">
      <formula>-0.3</formula>
      <formula>0.3</formula>
    </cfRule>
  </conditionalFormatting>
  <conditionalFormatting sqref="AI5">
    <cfRule type="cellIs" dxfId="0" priority="61" operator="notBetween">
      <formula>-0.3</formula>
      <formula>0.3</formula>
    </cfRule>
  </conditionalFormatting>
  <conditionalFormatting sqref="D6:E6">
    <cfRule type="containsErrors" dxfId="1" priority="3">
      <formula>ISERROR(D6)</formula>
    </cfRule>
  </conditionalFormatting>
  <conditionalFormatting sqref="AA6">
    <cfRule type="cellIs" dxfId="0" priority="123" operator="notBetween">
      <formula>-25</formula>
      <formula>25</formula>
    </cfRule>
  </conditionalFormatting>
  <conditionalFormatting sqref="AH6">
    <cfRule type="cellIs" dxfId="0" priority="75" operator="notBetween">
      <formula>-0.3</formula>
      <formula>0.3</formula>
    </cfRule>
  </conditionalFormatting>
  <conditionalFormatting sqref="AI6">
    <cfRule type="cellIs" dxfId="0" priority="60" operator="notBetween">
      <formula>-0.3</formula>
      <formula>0.3</formula>
    </cfRule>
  </conditionalFormatting>
  <conditionalFormatting sqref="D7:E7">
    <cfRule type="containsErrors" dxfId="1" priority="2">
      <formula>ISERROR(D7)</formula>
    </cfRule>
  </conditionalFormatting>
  <conditionalFormatting sqref="AA7">
    <cfRule type="cellIs" dxfId="0" priority="122" operator="notBetween">
      <formula>-25</formula>
      <formula>25</formula>
    </cfRule>
  </conditionalFormatting>
  <conditionalFormatting sqref="AH7">
    <cfRule type="cellIs" dxfId="0" priority="74" operator="notBetween">
      <formula>-0.3</formula>
      <formula>0.3</formula>
    </cfRule>
  </conditionalFormatting>
  <conditionalFormatting sqref="AI7">
    <cfRule type="cellIs" dxfId="0" priority="59" operator="notBetween">
      <formula>-0.3</formula>
      <formula>0.3</formula>
    </cfRule>
  </conditionalFormatting>
  <conditionalFormatting sqref="D8:E8">
    <cfRule type="containsErrors" dxfId="1" priority="1">
      <formula>ISERROR(D8)</formula>
    </cfRule>
  </conditionalFormatting>
  <conditionalFormatting sqref="AA8">
    <cfRule type="cellIs" dxfId="0" priority="121" operator="notBetween">
      <formula>-25</formula>
      <formula>25</formula>
    </cfRule>
  </conditionalFormatting>
  <conditionalFormatting sqref="AH8">
    <cfRule type="cellIs" dxfId="0" priority="73" operator="notBetween">
      <formula>-0.3</formula>
      <formula>0.3</formula>
    </cfRule>
  </conditionalFormatting>
  <conditionalFormatting sqref="AI8">
    <cfRule type="cellIs" dxfId="0" priority="58" operator="notBetween">
      <formula>-0.3</formula>
      <formula>0.3</formula>
    </cfRule>
  </conditionalFormatting>
  <conditionalFormatting sqref="AB4:AB8">
    <cfRule type="cellIs" dxfId="0" priority="6" operator="notBetween">
      <formula>60</formula>
      <formula>140</formula>
    </cfRule>
  </conditionalFormatting>
  <conditionalFormatting sqref="AC4:AC8">
    <cfRule type="cellIs" dxfId="0" priority="8" operator="notBetween">
      <formula>-0.3</formula>
      <formula>0.3</formula>
    </cfRule>
  </conditionalFormatting>
  <conditionalFormatting sqref="AD4:AD8">
    <cfRule type="cellIs" dxfId="0" priority="94" operator="notBetween">
      <formula>-0.05</formula>
      <formula>0.05</formula>
    </cfRule>
  </conditionalFormatting>
  <conditionalFormatting sqref="AE4:AE8">
    <cfRule type="cellIs" dxfId="0" priority="93" operator="notBetween">
      <formula>-0.21</formula>
      <formula>-0.17</formula>
    </cfRule>
  </conditionalFormatting>
  <conditionalFormatting sqref="AF4:AF8">
    <cfRule type="containsErrors" dxfId="1" priority="31">
      <formula>ISERROR(AF4)</formula>
    </cfRule>
    <cfRule type="cellIs" dxfId="0" priority="32" operator="notBetween">
      <formula>0.07</formula>
      <formula>0.11</formula>
    </cfRule>
  </conditionalFormatting>
  <conditionalFormatting sqref="D1:Z3">
    <cfRule type="containsErrors" dxfId="1" priority="344">
      <formula>ISERROR(D1)</formula>
    </cfRule>
  </conditionalFormatting>
  <conditionalFormatting sqref="F4:Z8">
    <cfRule type="containsErrors" dxfId="1" priority="7">
      <formula>ISERROR(F4)</formula>
    </cfRule>
  </conditionalFormatting>
  <conditionalFormatting sqref="D9:AI1048576">
    <cfRule type="containsErrors" dxfId="1" priority="351">
      <formula>ISERROR(D9)</formula>
    </cfRule>
  </conditionalFormatting>
  <pageMargins left="0.75" right="0.75" top="1" bottom="1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view="pageBreakPreview" zoomScale="130" zoomScaleNormal="115" workbookViewId="0">
      <selection activeCell="B5" sqref="B5:E5"/>
    </sheetView>
  </sheetViews>
  <sheetFormatPr defaultColWidth="9" defaultRowHeight="14.25" outlineLevelCol="5"/>
  <cols>
    <col min="1" max="1" width="9.60833333333333" style="49" customWidth="1"/>
    <col min="2" max="2" width="7.85833333333333" style="50" customWidth="1"/>
    <col min="3" max="3" width="7.68333333333333" style="50" customWidth="1"/>
    <col min="4" max="4" width="9.1" style="50" customWidth="1"/>
    <col min="5" max="5" width="20.0833333333333" style="49" customWidth="1"/>
    <col min="6" max="6" width="9.48333333333333" style="49" customWidth="1"/>
    <col min="7" max="7" width="9.75" style="49" customWidth="1"/>
    <col min="8" max="16384" width="8.66666666666667" style="49"/>
  </cols>
  <sheetData>
    <row r="1" s="49" customFormat="1" ht="70" customHeight="1" spans="1:6">
      <c r="A1" s="51"/>
      <c r="B1" s="52" t="s">
        <v>50</v>
      </c>
      <c r="C1" s="52"/>
      <c r="D1" s="53"/>
      <c r="E1" s="54"/>
      <c r="F1" s="55" t="s">
        <v>51</v>
      </c>
    </row>
    <row r="2" s="49" customFormat="1" spans="1:6">
      <c r="A2" s="56"/>
      <c r="B2" s="57"/>
      <c r="C2" s="57"/>
      <c r="D2" s="57"/>
      <c r="E2" s="57"/>
      <c r="F2" s="58"/>
    </row>
    <row r="3" s="49" customFormat="1" ht="25" customHeight="1" spans="1:6">
      <c r="A3" s="59" t="s">
        <v>52</v>
      </c>
      <c r="B3" s="60"/>
      <c r="C3" s="61"/>
      <c r="D3" s="62" t="s">
        <v>53</v>
      </c>
      <c r="E3" s="62"/>
      <c r="F3" s="63" t="s">
        <v>54</v>
      </c>
    </row>
    <row r="4" s="49" customFormat="1" ht="25" customHeight="1" spans="1:6">
      <c r="A4" s="64" t="s">
        <v>55</v>
      </c>
      <c r="B4" s="65" t="s">
        <v>56</v>
      </c>
      <c r="C4" s="65"/>
      <c r="D4" s="65"/>
      <c r="E4" s="66" t="s">
        <v>57</v>
      </c>
      <c r="F4" s="67"/>
    </row>
    <row r="5" s="49" customFormat="1" ht="61.5" customHeight="1" spans="1:6">
      <c r="A5" s="68" t="s">
        <v>58</v>
      </c>
      <c r="B5" s="69" t="s">
        <v>59</v>
      </c>
      <c r="C5" s="70"/>
      <c r="D5" s="71"/>
      <c r="E5" s="72"/>
      <c r="F5" s="73"/>
    </row>
    <row r="6" s="49" customFormat="1" ht="40.5" customHeight="1" spans="1:6">
      <c r="A6" s="68" t="s">
        <v>60</v>
      </c>
      <c r="B6" s="60" t="s">
        <v>61</v>
      </c>
      <c r="C6" s="61"/>
      <c r="D6" s="74" t="s">
        <v>62</v>
      </c>
      <c r="E6" s="62" t="s">
        <v>63</v>
      </c>
      <c r="F6" s="75"/>
    </row>
    <row r="7" s="49" customFormat="1" ht="28.5" customHeight="1" spans="1:6">
      <c r="A7" s="59" t="s">
        <v>64</v>
      </c>
      <c r="B7" s="74" t="s">
        <v>65</v>
      </c>
      <c r="C7" s="74" t="s">
        <v>66</v>
      </c>
      <c r="D7" s="76" t="s">
        <v>67</v>
      </c>
      <c r="E7" s="77"/>
      <c r="F7" s="78"/>
    </row>
    <row r="8" s="49" customFormat="1" ht="20" customHeight="1" spans="1:6">
      <c r="A8" s="79"/>
      <c r="B8" s="80"/>
      <c r="C8" s="80"/>
      <c r="D8" s="81" t="s">
        <v>68</v>
      </c>
      <c r="E8" s="82"/>
      <c r="F8" s="83"/>
    </row>
    <row r="9" s="49" customFormat="1" ht="20" customHeight="1" spans="1:6">
      <c r="A9" s="84"/>
      <c r="B9" s="80"/>
      <c r="C9" s="80"/>
      <c r="D9" s="81" t="s">
        <v>68</v>
      </c>
      <c r="E9" s="82"/>
      <c r="F9" s="83"/>
    </row>
    <row r="10" s="49" customFormat="1" ht="20" customHeight="1" spans="1:6">
      <c r="A10" s="84"/>
      <c r="B10" s="80"/>
      <c r="C10" s="80"/>
      <c r="D10" s="81" t="s">
        <v>68</v>
      </c>
      <c r="E10" s="82"/>
      <c r="F10" s="83"/>
    </row>
    <row r="11" s="49" customFormat="1" ht="20" customHeight="1" spans="1:6">
      <c r="A11" s="84"/>
      <c r="B11" s="80"/>
      <c r="C11" s="80"/>
      <c r="D11" s="81" t="s">
        <v>68</v>
      </c>
      <c r="E11" s="82"/>
      <c r="F11" s="83"/>
    </row>
    <row r="12" s="49" customFormat="1" ht="20" customHeight="1" spans="1:6">
      <c r="A12" s="84"/>
      <c r="B12" s="80"/>
      <c r="C12" s="80"/>
      <c r="D12" s="81" t="s">
        <v>68</v>
      </c>
      <c r="E12" s="82"/>
      <c r="F12" s="85"/>
    </row>
    <row r="13" s="49" customFormat="1" ht="86.5" customHeight="1" spans="1:6">
      <c r="A13" s="86" t="s">
        <v>69</v>
      </c>
      <c r="B13" s="87"/>
      <c r="C13" s="87"/>
      <c r="D13" s="87"/>
      <c r="E13" s="87"/>
      <c r="F13" s="88"/>
    </row>
  </sheetData>
  <mergeCells count="14">
    <mergeCell ref="B1:E1"/>
    <mergeCell ref="A2:F2"/>
    <mergeCell ref="B3:C3"/>
    <mergeCell ref="B4:D4"/>
    <mergeCell ref="B5:E5"/>
    <mergeCell ref="B6:C6"/>
    <mergeCell ref="D7:E7"/>
    <mergeCell ref="D8:E8"/>
    <mergeCell ref="D9:E9"/>
    <mergeCell ref="D10:E10"/>
    <mergeCell ref="D11:E11"/>
    <mergeCell ref="D12:E12"/>
    <mergeCell ref="A13:E13"/>
    <mergeCell ref="F7:F12"/>
  </mergeCells>
  <pageMargins left="0.433070866141732" right="0.393700787401575" top="0.62992125984252" bottom="0.393700787401575" header="0.31496062992126" footer="0.31496062992126"/>
  <pageSetup paperSize="1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opLeftCell="A8" workbookViewId="0">
      <selection activeCell="E10" sqref="E10"/>
    </sheetView>
  </sheetViews>
  <sheetFormatPr defaultColWidth="9" defaultRowHeight="14.25"/>
  <cols>
    <col min="1" max="1" width="26.5833333333333" style="1" customWidth="1"/>
    <col min="2" max="2" width="10.5833333333333" style="2" customWidth="1"/>
    <col min="3" max="4" width="15.5833333333333" style="3" customWidth="1"/>
    <col min="5" max="5" width="8.66666666666667" style="1"/>
    <col min="6" max="6" width="26.5833333333333" style="3" customWidth="1"/>
    <col min="7" max="7" width="10.5833333333333" style="3" customWidth="1"/>
    <col min="8" max="9" width="15.5833333333333" style="3" customWidth="1"/>
    <col min="10" max="10" width="8.66666666666667" style="1"/>
    <col min="11" max="11" width="26.5833333333333" style="1" customWidth="1"/>
    <col min="12" max="12" width="10.5833333333333" style="1" customWidth="1"/>
    <col min="13" max="14" width="15.5833333333333" style="1" customWidth="1"/>
    <col min="15" max="16384" width="8.66666666666667" style="1"/>
  </cols>
  <sheetData>
    <row r="1" ht="46.5" customHeight="1" spans="1:14">
      <c r="A1" s="4" t="s">
        <v>70</v>
      </c>
      <c r="B1" s="5"/>
      <c r="C1" s="5"/>
      <c r="D1" s="6"/>
      <c r="F1" s="7" t="s">
        <v>71</v>
      </c>
      <c r="G1" s="8"/>
      <c r="H1" s="8"/>
      <c r="I1" s="36"/>
      <c r="K1" s="7" t="s">
        <v>72</v>
      </c>
      <c r="L1" s="8"/>
      <c r="M1" s="8"/>
      <c r="N1" s="36"/>
    </row>
    <row r="2" ht="30.5" customHeight="1" spans="1:14">
      <c r="A2" s="9" t="s">
        <v>53</v>
      </c>
      <c r="B2" s="10" t="s">
        <v>73</v>
      </c>
      <c r="C2" s="11" t="s">
        <v>74</v>
      </c>
      <c r="D2" s="12" t="s">
        <v>75</v>
      </c>
      <c r="F2" s="9" t="s">
        <v>53</v>
      </c>
      <c r="G2" s="10" t="s">
        <v>76</v>
      </c>
      <c r="H2" s="11" t="s">
        <v>74</v>
      </c>
      <c r="I2" s="12" t="s">
        <v>75</v>
      </c>
      <c r="K2" s="9" t="s">
        <v>53</v>
      </c>
      <c r="L2" s="10" t="s">
        <v>76</v>
      </c>
      <c r="M2" s="11" t="s">
        <v>74</v>
      </c>
      <c r="N2" s="12" t="s">
        <v>75</v>
      </c>
    </row>
    <row r="3" ht="20" customHeight="1" spans="1:14">
      <c r="A3" s="9" t="s">
        <v>77</v>
      </c>
      <c r="B3" s="10" t="s">
        <v>78</v>
      </c>
      <c r="C3" s="13" t="s">
        <v>79</v>
      </c>
      <c r="D3" s="14" t="s">
        <v>80</v>
      </c>
      <c r="F3" s="15" t="s">
        <v>81</v>
      </c>
      <c r="G3" s="16" t="s">
        <v>82</v>
      </c>
      <c r="H3" s="17" t="s">
        <v>83</v>
      </c>
      <c r="I3" s="37" t="s">
        <v>83</v>
      </c>
      <c r="K3" s="9" t="s">
        <v>84</v>
      </c>
      <c r="L3" s="10" t="s">
        <v>85</v>
      </c>
      <c r="M3" s="13" t="s">
        <v>86</v>
      </c>
      <c r="N3" s="14" t="s">
        <v>83</v>
      </c>
    </row>
    <row r="4" ht="20" customHeight="1" spans="1:14">
      <c r="A4" s="9" t="s">
        <v>87</v>
      </c>
      <c r="B4" s="10" t="s">
        <v>88</v>
      </c>
      <c r="C4" s="18" t="s">
        <v>89</v>
      </c>
      <c r="D4" s="19" t="s">
        <v>90</v>
      </c>
      <c r="F4" s="15" t="s">
        <v>91</v>
      </c>
      <c r="G4" s="16" t="s">
        <v>92</v>
      </c>
      <c r="H4" s="20" t="s">
        <v>93</v>
      </c>
      <c r="I4" s="38" t="s">
        <v>93</v>
      </c>
      <c r="K4" s="9" t="s">
        <v>94</v>
      </c>
      <c r="L4" s="10" t="s">
        <v>82</v>
      </c>
      <c r="M4" s="18" t="s">
        <v>80</v>
      </c>
      <c r="N4" s="19" t="s">
        <v>86</v>
      </c>
    </row>
    <row r="5" ht="20" customHeight="1" spans="1:14">
      <c r="A5" s="9" t="s">
        <v>95</v>
      </c>
      <c r="B5" s="10" t="s">
        <v>96</v>
      </c>
      <c r="C5" s="18" t="s">
        <v>97</v>
      </c>
      <c r="D5" s="19" t="s">
        <v>98</v>
      </c>
      <c r="F5" s="21" t="s">
        <v>99</v>
      </c>
      <c r="G5" s="16" t="s">
        <v>100</v>
      </c>
      <c r="H5" s="16" t="s">
        <v>101</v>
      </c>
      <c r="I5" s="39" t="s">
        <v>102</v>
      </c>
      <c r="K5" s="9" t="s">
        <v>103</v>
      </c>
      <c r="L5" s="10" t="s">
        <v>104</v>
      </c>
      <c r="M5" s="18" t="s">
        <v>79</v>
      </c>
      <c r="N5" s="19" t="s">
        <v>102</v>
      </c>
    </row>
    <row r="6" ht="20" customHeight="1" spans="1:14">
      <c r="A6" s="9" t="s">
        <v>105</v>
      </c>
      <c r="B6" s="10" t="s">
        <v>106</v>
      </c>
      <c r="C6" s="18" t="s">
        <v>107</v>
      </c>
      <c r="D6" s="19" t="s">
        <v>108</v>
      </c>
      <c r="F6" s="15" t="s">
        <v>109</v>
      </c>
      <c r="G6" s="16" t="s">
        <v>100</v>
      </c>
      <c r="H6" s="20" t="s">
        <v>101</v>
      </c>
      <c r="I6" s="38" t="s">
        <v>101</v>
      </c>
      <c r="K6" s="9" t="s">
        <v>110</v>
      </c>
      <c r="L6" s="10" t="s">
        <v>104</v>
      </c>
      <c r="M6" s="18" t="s">
        <v>79</v>
      </c>
      <c r="N6" s="19" t="s">
        <v>80</v>
      </c>
    </row>
    <row r="7" ht="20" customHeight="1" spans="1:14">
      <c r="A7" s="22" t="s">
        <v>111</v>
      </c>
      <c r="B7" s="23" t="s">
        <v>112</v>
      </c>
      <c r="C7" s="18" t="s">
        <v>113</v>
      </c>
      <c r="D7" s="19" t="s">
        <v>114</v>
      </c>
      <c r="F7" s="15" t="s">
        <v>115</v>
      </c>
      <c r="G7" s="16" t="s">
        <v>116</v>
      </c>
      <c r="H7" s="20" t="s">
        <v>90</v>
      </c>
      <c r="I7" s="38" t="s">
        <v>102</v>
      </c>
      <c r="K7" s="9" t="s">
        <v>117</v>
      </c>
      <c r="L7" s="23" t="s">
        <v>116</v>
      </c>
      <c r="M7" s="18" t="s">
        <v>89</v>
      </c>
      <c r="N7" s="19" t="s">
        <v>102</v>
      </c>
    </row>
    <row r="8" ht="20" customHeight="1" spans="1:14">
      <c r="A8" s="22" t="s">
        <v>118</v>
      </c>
      <c r="B8" s="23" t="s">
        <v>119</v>
      </c>
      <c r="C8" s="18" t="s">
        <v>80</v>
      </c>
      <c r="D8" s="19" t="s">
        <v>86</v>
      </c>
      <c r="F8" s="21" t="s">
        <v>120</v>
      </c>
      <c r="G8" s="16" t="s">
        <v>116</v>
      </c>
      <c r="H8" s="20" t="s">
        <v>90</v>
      </c>
      <c r="I8" s="38" t="s">
        <v>90</v>
      </c>
      <c r="K8" s="22" t="s">
        <v>121</v>
      </c>
      <c r="L8" s="23" t="s">
        <v>116</v>
      </c>
      <c r="M8" s="18" t="s">
        <v>89</v>
      </c>
      <c r="N8" s="19" t="s">
        <v>90</v>
      </c>
    </row>
    <row r="9" ht="20" customHeight="1" spans="1:14">
      <c r="A9" s="24" t="s">
        <v>122</v>
      </c>
      <c r="B9" s="23" t="s">
        <v>123</v>
      </c>
      <c r="C9" s="18" t="s">
        <v>79</v>
      </c>
      <c r="D9" s="19" t="s">
        <v>80</v>
      </c>
      <c r="F9" s="25" t="s">
        <v>124</v>
      </c>
      <c r="G9" s="16" t="s">
        <v>125</v>
      </c>
      <c r="H9" s="20" t="s">
        <v>126</v>
      </c>
      <c r="I9" s="38" t="s">
        <v>102</v>
      </c>
      <c r="K9" s="24" t="s">
        <v>127</v>
      </c>
      <c r="L9" s="23" t="s">
        <v>125</v>
      </c>
      <c r="M9" s="18" t="s">
        <v>126</v>
      </c>
      <c r="N9" s="19" t="s">
        <v>102</v>
      </c>
    </row>
    <row r="10" ht="20" customHeight="1" spans="1:14">
      <c r="A10" s="24" t="s">
        <v>128</v>
      </c>
      <c r="B10" s="23" t="s">
        <v>129</v>
      </c>
      <c r="C10" s="18" t="s">
        <v>130</v>
      </c>
      <c r="D10" s="19" t="s">
        <v>131</v>
      </c>
      <c r="F10" s="25" t="s">
        <v>132</v>
      </c>
      <c r="G10" s="16" t="s">
        <v>125</v>
      </c>
      <c r="H10" s="20" t="s">
        <v>126</v>
      </c>
      <c r="I10" s="38" t="s">
        <v>89</v>
      </c>
      <c r="K10" s="24" t="s">
        <v>133</v>
      </c>
      <c r="L10" s="23" t="s">
        <v>125</v>
      </c>
      <c r="M10" s="18" t="s">
        <v>126</v>
      </c>
      <c r="N10" s="19" t="s">
        <v>89</v>
      </c>
    </row>
    <row r="11" ht="20" customHeight="1" spans="1:14">
      <c r="A11" s="22" t="s">
        <v>134</v>
      </c>
      <c r="B11" s="23" t="s">
        <v>135</v>
      </c>
      <c r="C11" s="18" t="s">
        <v>136</v>
      </c>
      <c r="D11" s="19" t="s">
        <v>98</v>
      </c>
      <c r="F11" s="21" t="s">
        <v>137</v>
      </c>
      <c r="G11" s="16" t="s">
        <v>138</v>
      </c>
      <c r="H11" s="20" t="s">
        <v>139</v>
      </c>
      <c r="I11" s="38" t="s">
        <v>102</v>
      </c>
      <c r="K11" s="22" t="s">
        <v>140</v>
      </c>
      <c r="L11" s="23" t="s">
        <v>138</v>
      </c>
      <c r="M11" s="18" t="s">
        <v>141</v>
      </c>
      <c r="N11" s="19" t="s">
        <v>102</v>
      </c>
    </row>
    <row r="12" ht="20" customHeight="1" spans="1:14">
      <c r="A12" s="24" t="s">
        <v>142</v>
      </c>
      <c r="B12" s="23" t="s">
        <v>143</v>
      </c>
      <c r="C12" s="18" t="s">
        <v>144</v>
      </c>
      <c r="D12" s="19" t="s">
        <v>145</v>
      </c>
      <c r="F12" s="25" t="s">
        <v>146</v>
      </c>
      <c r="G12" s="16" t="s">
        <v>138</v>
      </c>
      <c r="H12" s="20" t="s">
        <v>139</v>
      </c>
      <c r="I12" s="38" t="s">
        <v>145</v>
      </c>
      <c r="K12" s="24" t="s">
        <v>147</v>
      </c>
      <c r="L12" s="23" t="s">
        <v>138</v>
      </c>
      <c r="M12" s="18" t="s">
        <v>141</v>
      </c>
      <c r="N12" s="19" t="s">
        <v>145</v>
      </c>
    </row>
    <row r="13" ht="20" customHeight="1" spans="1:14">
      <c r="A13" s="24" t="s">
        <v>148</v>
      </c>
      <c r="B13" s="23" t="s">
        <v>149</v>
      </c>
      <c r="C13" s="18" t="s">
        <v>113</v>
      </c>
      <c r="D13" s="26" t="s">
        <v>150</v>
      </c>
      <c r="F13" s="25" t="s">
        <v>151</v>
      </c>
      <c r="G13" s="16" t="s">
        <v>152</v>
      </c>
      <c r="H13" s="20" t="s">
        <v>153</v>
      </c>
      <c r="I13" s="40" t="s">
        <v>102</v>
      </c>
      <c r="K13" s="24" t="s">
        <v>154</v>
      </c>
      <c r="L13" s="23" t="s">
        <v>155</v>
      </c>
      <c r="M13" s="18" t="s">
        <v>156</v>
      </c>
      <c r="N13" s="19" t="s">
        <v>102</v>
      </c>
    </row>
    <row r="14" ht="20" customHeight="1" spans="1:14">
      <c r="A14" s="24" t="s">
        <v>157</v>
      </c>
      <c r="B14" s="23" t="s">
        <v>158</v>
      </c>
      <c r="C14" s="18" t="s">
        <v>90</v>
      </c>
      <c r="D14" s="26" t="s">
        <v>150</v>
      </c>
      <c r="F14" s="25" t="s">
        <v>159</v>
      </c>
      <c r="G14" s="16" t="s">
        <v>152</v>
      </c>
      <c r="H14" s="20" t="s">
        <v>153</v>
      </c>
      <c r="I14" s="40" t="s">
        <v>160</v>
      </c>
      <c r="K14" s="24" t="s">
        <v>161</v>
      </c>
      <c r="L14" s="23" t="s">
        <v>155</v>
      </c>
      <c r="M14" s="18" t="s">
        <v>156</v>
      </c>
      <c r="N14" s="26" t="s">
        <v>141</v>
      </c>
    </row>
    <row r="15" ht="20" customHeight="1" spans="1:14">
      <c r="A15" s="24" t="s">
        <v>162</v>
      </c>
      <c r="B15" s="23" t="s">
        <v>163</v>
      </c>
      <c r="C15" s="18" t="s">
        <v>164</v>
      </c>
      <c r="D15" s="26" t="s">
        <v>150</v>
      </c>
      <c r="F15" s="25" t="s">
        <v>165</v>
      </c>
      <c r="G15" s="16" t="s">
        <v>166</v>
      </c>
      <c r="H15" s="20" t="s">
        <v>167</v>
      </c>
      <c r="I15" s="40" t="s">
        <v>102</v>
      </c>
      <c r="K15" s="24" t="s">
        <v>168</v>
      </c>
      <c r="L15" s="23" t="s">
        <v>169</v>
      </c>
      <c r="M15" s="18" t="s">
        <v>170</v>
      </c>
      <c r="N15" s="19" t="s">
        <v>102</v>
      </c>
    </row>
    <row r="16" ht="20" customHeight="1" spans="1:14">
      <c r="A16" s="24" t="s">
        <v>171</v>
      </c>
      <c r="B16" s="23" t="s">
        <v>172</v>
      </c>
      <c r="C16" s="18" t="s">
        <v>173</v>
      </c>
      <c r="D16" s="26" t="s">
        <v>150</v>
      </c>
      <c r="F16" s="25" t="s">
        <v>174</v>
      </c>
      <c r="G16" s="16" t="s">
        <v>166</v>
      </c>
      <c r="H16" s="20" t="s">
        <v>167</v>
      </c>
      <c r="I16" s="40" t="s">
        <v>108</v>
      </c>
      <c r="K16" s="27" t="s">
        <v>175</v>
      </c>
      <c r="L16" s="28" t="s">
        <v>176</v>
      </c>
      <c r="M16" s="29" t="s">
        <v>177</v>
      </c>
      <c r="N16" s="41" t="s">
        <v>102</v>
      </c>
    </row>
    <row r="17" ht="20" customHeight="1" spans="1:14">
      <c r="A17" s="27" t="s">
        <v>178</v>
      </c>
      <c r="B17" s="28" t="s">
        <v>179</v>
      </c>
      <c r="C17" s="29" t="s">
        <v>177</v>
      </c>
      <c r="D17" s="30" t="s">
        <v>150</v>
      </c>
      <c r="F17" s="25" t="s">
        <v>180</v>
      </c>
      <c r="G17" s="16" t="s">
        <v>155</v>
      </c>
      <c r="H17" s="20" t="s">
        <v>156</v>
      </c>
      <c r="I17" s="40" t="s">
        <v>102</v>
      </c>
      <c r="K17" s="42"/>
      <c r="L17" s="43"/>
      <c r="M17" s="44"/>
      <c r="N17" s="45"/>
    </row>
    <row r="18" ht="20" customHeight="1" spans="6:14">
      <c r="F18" s="25" t="s">
        <v>181</v>
      </c>
      <c r="G18" s="16" t="s">
        <v>155</v>
      </c>
      <c r="H18" s="20" t="s">
        <v>156</v>
      </c>
      <c r="I18" s="40" t="s">
        <v>108</v>
      </c>
      <c r="K18" s="46"/>
      <c r="L18" s="46"/>
      <c r="M18" s="46"/>
      <c r="N18" s="46"/>
    </row>
    <row r="19" ht="20" customHeight="1" spans="1:14">
      <c r="A19" s="31"/>
      <c r="B19" s="32"/>
      <c r="C19" s="32"/>
      <c r="D19" s="32"/>
      <c r="F19" s="25" t="s">
        <v>182</v>
      </c>
      <c r="G19" s="16" t="s">
        <v>169</v>
      </c>
      <c r="H19" s="20" t="s">
        <v>170</v>
      </c>
      <c r="I19" s="40" t="s">
        <v>102</v>
      </c>
      <c r="K19" s="46"/>
      <c r="L19" s="46"/>
      <c r="M19" s="46"/>
      <c r="N19" s="46"/>
    </row>
    <row r="20" ht="20" customHeight="1" spans="1:9">
      <c r="A20" s="32"/>
      <c r="B20" s="32"/>
      <c r="C20" s="32"/>
      <c r="D20" s="32"/>
      <c r="F20" s="25" t="s">
        <v>183</v>
      </c>
      <c r="G20" s="16" t="s">
        <v>169</v>
      </c>
      <c r="H20" s="20" t="s">
        <v>170</v>
      </c>
      <c r="I20" s="40" t="s">
        <v>108</v>
      </c>
    </row>
    <row r="21" ht="20" customHeight="1" spans="1:14">
      <c r="A21" s="32"/>
      <c r="B21" s="32"/>
      <c r="C21" s="32"/>
      <c r="D21" s="32"/>
      <c r="F21" s="25" t="s">
        <v>184</v>
      </c>
      <c r="G21" s="16" t="s">
        <v>185</v>
      </c>
      <c r="H21" s="20" t="s">
        <v>186</v>
      </c>
      <c r="I21" s="40" t="s">
        <v>102</v>
      </c>
      <c r="N21" s="47" t="s">
        <v>187</v>
      </c>
    </row>
    <row r="22" ht="20" customHeight="1" spans="1:9">
      <c r="A22" s="32"/>
      <c r="B22" s="32"/>
      <c r="C22" s="32"/>
      <c r="D22" s="32"/>
      <c r="F22" s="25" t="s">
        <v>188</v>
      </c>
      <c r="G22" s="16" t="s">
        <v>185</v>
      </c>
      <c r="H22" s="20" t="s">
        <v>186</v>
      </c>
      <c r="I22" s="40" t="s">
        <v>108</v>
      </c>
    </row>
    <row r="23" ht="20" customHeight="1" spans="1:9">
      <c r="A23" s="32"/>
      <c r="B23" s="32"/>
      <c r="C23" s="32"/>
      <c r="D23" s="32"/>
      <c r="F23" s="33" t="s">
        <v>189</v>
      </c>
      <c r="G23" s="34" t="s">
        <v>176</v>
      </c>
      <c r="H23" s="35" t="s">
        <v>177</v>
      </c>
      <c r="I23" s="48" t="s">
        <v>102</v>
      </c>
    </row>
  </sheetData>
  <mergeCells count="3">
    <mergeCell ref="A1:D1"/>
    <mergeCell ref="F1:I1"/>
    <mergeCell ref="K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爆破压力测试报告Burst pressure test</vt:lpstr>
      <vt:lpstr>拉力测试Pull test </vt:lpstr>
      <vt:lpstr>新晶圆性能测Wafer performance test</vt:lpstr>
      <vt:lpstr>过载测试Overload test</vt:lpstr>
      <vt:lpstr>芯片过载以及爆破性能指标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魏壮壮</dc:creator>
  <cp:lastModifiedBy>M30Test</cp:lastModifiedBy>
  <dcterms:created xsi:type="dcterms:W3CDTF">2015-06-05T18:19:00Z</dcterms:created>
  <cp:lastPrinted>2022-05-23T05:16:00Z</cp:lastPrinted>
  <dcterms:modified xsi:type="dcterms:W3CDTF">2026-09-10T07:59:23Z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4F1FC210B9C843649A6590D0B0C43F6F</vt:lpwstr>
  </property>
  <property fmtid="{D5CDD505-2E9C-101B-9397-08002B2CF9AE}" pid="3" name="KSOProductBuildVer">
    <vt:lpwstr>2052-11.8.6.11825</vt:lpwstr>
  </property>
</Properties>
</file>